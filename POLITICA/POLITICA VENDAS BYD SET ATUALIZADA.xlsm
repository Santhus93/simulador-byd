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simulador-byd\POLITICA\"/>
    </mc:Choice>
  </mc:AlternateContent>
  <xr:revisionPtr revIDLastSave="0" documentId="13_ncr:1_{02754FED-81EF-459B-A915-34BCE9DD178B}" xr6:coauthVersionLast="47" xr6:coauthVersionMax="47" xr10:uidLastSave="{00000000-0000-0000-0000-000000000000}"/>
  <bookViews>
    <workbookView xWindow="28680" yWindow="-120" windowWidth="29040" windowHeight="15720" activeTab="13" xr2:uid="{2867D29E-5356-4A04-AF44-3CA59D6BA675}"/>
  </bookViews>
  <sheets>
    <sheet name="MARGEM MÍN" sheetId="2" r:id="rId1"/>
    <sheet name="Planilha1" sheetId="4" state="veryHidden" r:id="rId2"/>
    <sheet name="Planilha2" sheetId="5" state="veryHidden" r:id="rId3"/>
    <sheet name="Planilha3" sheetId="6" state="veryHidden" r:id="rId4"/>
    <sheet name="Planilha4" sheetId="7" state="veryHidden" r:id="rId5"/>
    <sheet name="Planilha5" sheetId="8" state="veryHidden" r:id="rId6"/>
    <sheet name="Planilha6" sheetId="9" state="veryHidden" r:id="rId7"/>
    <sheet name="Planilha7" sheetId="10" state="veryHidden" r:id="rId8"/>
    <sheet name="Planilha8" sheetId="11" state="veryHidden" r:id="rId9"/>
    <sheet name="Planilha9" sheetId="12" state="veryHidden" r:id="rId10"/>
    <sheet name="Planilha10" sheetId="13" state="veryHidden" r:id="rId11"/>
    <sheet name="Planilha11" sheetId="14" state="veryHidden" r:id="rId12"/>
    <sheet name="SIMULADOR BYD" sheetId="3" r:id="rId13"/>
    <sheet name="EXPORTACAO_WEB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3" l="1"/>
  <c r="H25" i="2"/>
  <c r="H31" i="2"/>
  <c r="H30" i="2"/>
  <c r="H29" i="2"/>
  <c r="H28" i="2"/>
  <c r="H27" i="2"/>
  <c r="H26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O1048548" i="2" l="1"/>
  <c r="O1048550" i="2"/>
  <c r="O1048549" i="2"/>
  <c r="O1048555" i="2"/>
  <c r="N1048558" i="2"/>
  <c r="O1048558" i="2"/>
  <c r="N1048559" i="2"/>
  <c r="O1048559" i="2"/>
  <c r="N1048560" i="2"/>
  <c r="O1048560" i="2"/>
  <c r="N1048561" i="2"/>
  <c r="O1048561" i="2"/>
  <c r="N1048562" i="2"/>
  <c r="O1048562" i="2"/>
  <c r="B13" i="14"/>
  <c r="A13" i="14"/>
  <c r="B12" i="14"/>
  <c r="A12" i="14"/>
  <c r="B11" i="14"/>
  <c r="A11" i="14"/>
  <c r="B10" i="14"/>
  <c r="A10" i="14"/>
  <c r="B9" i="14"/>
  <c r="B8" i="14"/>
  <c r="B7" i="14"/>
  <c r="B6" i="14"/>
  <c r="B5" i="14"/>
  <c r="B4" i="14"/>
  <c r="B3" i="14"/>
  <c r="B2" i="14"/>
  <c r="B1" i="14"/>
  <c r="B13" i="13"/>
  <c r="A13" i="13"/>
  <c r="B12" i="13"/>
  <c r="A12" i="13"/>
  <c r="B11" i="13"/>
  <c r="A11" i="13"/>
  <c r="B10" i="13"/>
  <c r="A10" i="13"/>
  <c r="B9" i="13"/>
  <c r="B8" i="13"/>
  <c r="B7" i="13"/>
  <c r="B6" i="13"/>
  <c r="B5" i="13"/>
  <c r="B4" i="13"/>
  <c r="B3" i="13"/>
  <c r="B2" i="13"/>
  <c r="B1" i="13"/>
  <c r="B13" i="12"/>
  <c r="A13" i="12"/>
  <c r="B12" i="12"/>
  <c r="A12" i="12"/>
  <c r="B11" i="12"/>
  <c r="A11" i="12"/>
  <c r="B10" i="12"/>
  <c r="A10" i="12"/>
  <c r="B9" i="12"/>
  <c r="B8" i="12"/>
  <c r="B7" i="12"/>
  <c r="B6" i="12"/>
  <c r="B5" i="12"/>
  <c r="B4" i="12"/>
  <c r="B3" i="12"/>
  <c r="B2" i="12"/>
  <c r="B1" i="12"/>
  <c r="B13" i="11"/>
  <c r="A13" i="11"/>
  <c r="B12" i="11"/>
  <c r="A12" i="11"/>
  <c r="B11" i="11"/>
  <c r="A11" i="11"/>
  <c r="B10" i="11"/>
  <c r="A10" i="11"/>
  <c r="B9" i="11"/>
  <c r="B8" i="11"/>
  <c r="B7" i="11"/>
  <c r="B6" i="11"/>
  <c r="B5" i="11"/>
  <c r="B4" i="11"/>
  <c r="B3" i="11"/>
  <c r="B2" i="11"/>
  <c r="B1" i="11"/>
  <c r="B13" i="10"/>
  <c r="A13" i="10"/>
  <c r="B12" i="10"/>
  <c r="A12" i="10"/>
  <c r="B11" i="10"/>
  <c r="A11" i="10"/>
  <c r="B10" i="10"/>
  <c r="A10" i="10"/>
  <c r="B9" i="10"/>
  <c r="B8" i="10"/>
  <c r="B7" i="10"/>
  <c r="B6" i="10"/>
  <c r="B5" i="10"/>
  <c r="B4" i="10"/>
  <c r="B3" i="10"/>
  <c r="B2" i="10"/>
  <c r="B1" i="10"/>
  <c r="B13" i="9"/>
  <c r="A13" i="9"/>
  <c r="B12" i="9"/>
  <c r="A12" i="9"/>
  <c r="B11" i="9"/>
  <c r="A11" i="9"/>
  <c r="B10" i="9"/>
  <c r="A10" i="9"/>
  <c r="B9" i="9"/>
  <c r="B8" i="9"/>
  <c r="B7" i="9"/>
  <c r="B6" i="9"/>
  <c r="B5" i="9"/>
  <c r="B4" i="9"/>
  <c r="B3" i="9"/>
  <c r="B2" i="9"/>
  <c r="B1" i="9"/>
  <c r="B13" i="8"/>
  <c r="A13" i="8"/>
  <c r="B12" i="8"/>
  <c r="A12" i="8"/>
  <c r="B11" i="8"/>
  <c r="A11" i="8"/>
  <c r="B10" i="8"/>
  <c r="A10" i="8"/>
  <c r="B9" i="8"/>
  <c r="B8" i="8"/>
  <c r="B7" i="8"/>
  <c r="B6" i="8"/>
  <c r="B5" i="8"/>
  <c r="B4" i="8"/>
  <c r="B3" i="8"/>
  <c r="B2" i="8"/>
  <c r="B1" i="8"/>
  <c r="B13" i="7"/>
  <c r="A13" i="7"/>
  <c r="B12" i="7"/>
  <c r="A12" i="7"/>
  <c r="B11" i="7"/>
  <c r="A11" i="7"/>
  <c r="B10" i="7"/>
  <c r="A10" i="7"/>
  <c r="B9" i="7"/>
  <c r="B8" i="7"/>
  <c r="B7" i="7"/>
  <c r="B6" i="7"/>
  <c r="B5" i="7"/>
  <c r="B4" i="7"/>
  <c r="B3" i="7"/>
  <c r="B2" i="7"/>
  <c r="B1" i="7"/>
  <c r="B13" i="6"/>
  <c r="A13" i="6"/>
  <c r="B12" i="6"/>
  <c r="A12" i="6"/>
  <c r="B11" i="6"/>
  <c r="A11" i="6"/>
  <c r="B10" i="6"/>
  <c r="A10" i="6"/>
  <c r="B9" i="6"/>
  <c r="B8" i="6"/>
  <c r="B7" i="6"/>
  <c r="B6" i="6"/>
  <c r="B5" i="6"/>
  <c r="B4" i="6"/>
  <c r="B3" i="6"/>
  <c r="B2" i="6"/>
  <c r="B1" i="6"/>
  <c r="B13" i="5"/>
  <c r="A13" i="5"/>
  <c r="B12" i="5"/>
  <c r="A12" i="5"/>
  <c r="B11" i="5"/>
  <c r="A11" i="5"/>
  <c r="B10" i="5"/>
  <c r="A10" i="5"/>
  <c r="B9" i="5"/>
  <c r="B8" i="5"/>
  <c r="B7" i="5"/>
  <c r="B6" i="5"/>
  <c r="B5" i="5"/>
  <c r="B4" i="5"/>
  <c r="B3" i="5"/>
  <c r="B2" i="5"/>
  <c r="B1" i="5"/>
  <c r="B13" i="4"/>
  <c r="A13" i="4"/>
  <c r="B12" i="4"/>
  <c r="A12" i="4"/>
  <c r="B11" i="4"/>
  <c r="A11" i="4"/>
  <c r="B10" i="4"/>
  <c r="A10" i="4"/>
  <c r="B9" i="4"/>
  <c r="B8" i="4"/>
  <c r="B7" i="4"/>
  <c r="B6" i="4"/>
  <c r="B5" i="4"/>
  <c r="B4" i="4"/>
  <c r="B3" i="4"/>
  <c r="B2" i="4"/>
  <c r="B1" i="4"/>
  <c r="F6" i="3" l="1"/>
  <c r="E5" i="3"/>
  <c r="J5" i="3" s="1"/>
  <c r="F5" i="3" l="1"/>
  <c r="O1048551" i="2"/>
  <c r="O1048553" i="2"/>
  <c r="K6" i="3" l="1"/>
  <c r="P1048552" i="2" s="1"/>
  <c r="O1048552" i="2" s="1"/>
  <c r="L5" i="3"/>
  <c r="L6" i="3" l="1"/>
  <c r="O1048556" i="2"/>
  <c r="O1048554" i="2"/>
  <c r="J8" i="3" l="1"/>
  <c r="P1048557" i="2"/>
  <c r="O1048557" i="2" s="1"/>
</calcChain>
</file>

<file path=xl/sharedStrings.xml><?xml version="1.0" encoding="utf-8"?>
<sst xmlns="http://schemas.openxmlformats.org/spreadsheetml/2006/main" count="374" uniqueCount="105">
  <si>
    <t>MARGEM</t>
  </si>
  <si>
    <t>24/25</t>
  </si>
  <si>
    <t>MODELO</t>
  </si>
  <si>
    <t>A/M</t>
  </si>
  <si>
    <t>PPS</t>
  </si>
  <si>
    <t>LB</t>
  </si>
  <si>
    <t>DESVIO</t>
  </si>
  <si>
    <t xml:space="preserve"> </t>
  </si>
  <si>
    <t>Simulador de Negociação - BYD</t>
  </si>
  <si>
    <t>Margem PPS</t>
  </si>
  <si>
    <t>BÔNUS</t>
  </si>
  <si>
    <t>INCIDÊNCIA (BANCAGEM)</t>
  </si>
  <si>
    <t>Usado na troca:</t>
  </si>
  <si>
    <t>BÔNUS MONTADORA</t>
  </si>
  <si>
    <t>Regional</t>
  </si>
  <si>
    <t>Estética</t>
  </si>
  <si>
    <t>Seguro</t>
  </si>
  <si>
    <t>Consórcio</t>
  </si>
  <si>
    <t>Financiamento</t>
  </si>
  <si>
    <t>LB Seminovo</t>
  </si>
  <si>
    <t>PREVISÃO GANHOS ADICIONAIS</t>
  </si>
  <si>
    <t>Cliente</t>
  </si>
  <si>
    <t>Chassi 0 km:</t>
  </si>
  <si>
    <t>DADOS DA VENDA</t>
  </si>
  <si>
    <t xml:space="preserve">Modelo: </t>
  </si>
  <si>
    <t xml:space="preserve">Chassi: </t>
  </si>
  <si>
    <t xml:space="preserve">PPS: </t>
  </si>
  <si>
    <t xml:space="preserve">Margem Mínima: </t>
  </si>
  <si>
    <t xml:space="preserve">LB Mínimo: </t>
  </si>
  <si>
    <t xml:space="preserve">Preço Pleiteado: </t>
  </si>
  <si>
    <t xml:space="preserve">Cliente: </t>
  </si>
  <si>
    <t xml:space="preserve">Margem Pleiteada: </t>
  </si>
  <si>
    <t>Valor NF</t>
  </si>
  <si>
    <t xml:space="preserve">Bônus: </t>
  </si>
  <si>
    <t>BYD BRASILIA</t>
  </si>
  <si>
    <t>BYD - GOIANIA</t>
  </si>
  <si>
    <t>BYD - BH</t>
  </si>
  <si>
    <t>BYD ES - (GRANDE VITÓRIA)</t>
  </si>
  <si>
    <t>BYD ES - (INTERIOR)</t>
  </si>
  <si>
    <t>BYD GOIÁS (INTERIOR)</t>
  </si>
  <si>
    <t>BYD MG - INTERIOR</t>
  </si>
  <si>
    <t>26/27</t>
  </si>
  <si>
    <t>25/26</t>
  </si>
  <si>
    <t>Autorizações</t>
  </si>
  <si>
    <t>1% abaixo da política</t>
  </si>
  <si>
    <t>REGIONAL</t>
  </si>
  <si>
    <t>YUAN PLUS AWD</t>
  </si>
  <si>
    <t>ATTO 8 GS DM</t>
  </si>
  <si>
    <t xml:space="preserve">24/25 </t>
  </si>
  <si>
    <t>SEALION 7 GS</t>
  </si>
  <si>
    <t>VALOR POLÍTICA</t>
  </si>
  <si>
    <t>&gt; 1% abaixo da política</t>
  </si>
  <si>
    <t>Valor Mínimo</t>
  </si>
  <si>
    <t>Valor Alcançado</t>
  </si>
  <si>
    <t>Não autorizado abaixo do valor de campanha</t>
  </si>
  <si>
    <t>20K BYD X BYD</t>
  </si>
  <si>
    <t>10K VAREJO</t>
  </si>
  <si>
    <t>5K VAREJO</t>
  </si>
  <si>
    <t>30K VAREJO</t>
  </si>
  <si>
    <t>25/26 I 26/26 I 26/27</t>
  </si>
  <si>
    <t>Valor alcançado</t>
  </si>
  <si>
    <t>DOLPHIN SPEC ED</t>
  </si>
  <si>
    <t>BYD DOLPHIN GS</t>
  </si>
  <si>
    <t>SONG PLUS GS 1.5T</t>
  </si>
  <si>
    <t>SONG PRO GS (25/26)</t>
  </si>
  <si>
    <t>SONG PRO GS (26/27)</t>
  </si>
  <si>
    <t>SONG PRO GS FLEX (lançamento)</t>
  </si>
  <si>
    <t>KING GS (25/26 E 26/26)</t>
  </si>
  <si>
    <t>KING GS (26/27)</t>
  </si>
  <si>
    <t>DOLPHIN MINI GS5 (DF,GOIANIA, AP GO, ANAPOLIS</t>
  </si>
  <si>
    <t>DOLPHIN MINI GS5 (ES, MG E DEMAIS DE GO.)</t>
  </si>
  <si>
    <t>25/26 I 26/26</t>
  </si>
  <si>
    <t>24/25 I 25/26</t>
  </si>
  <si>
    <t>*</t>
  </si>
  <si>
    <t>20K BYB XBYD OU 10K VAREJO</t>
  </si>
  <si>
    <t>10KVAREJO 25/26</t>
  </si>
  <si>
    <t>20K BYD X BYD OU 15K OUTROS  MOD</t>
  </si>
  <si>
    <t>POLÍTICA COMERCIAL 113 - SETEMBRO/26</t>
  </si>
  <si>
    <t>SEAL</t>
  </si>
  <si>
    <t>SHARK GS DM</t>
  </si>
  <si>
    <t>SHARK GS DM (24/25)</t>
  </si>
  <si>
    <t>SONG PLUS GS DM</t>
  </si>
  <si>
    <t xml:space="preserve">SONG PLUS PREM  </t>
  </si>
  <si>
    <t>YUAN PRO GS (sem trade in) DF,GO,MG1 E MG2</t>
  </si>
  <si>
    <t>YUAN PRO GS (com trade in) DF,GO,MG1 E MG2</t>
  </si>
  <si>
    <t>YUAN PRO GS (sem trade in) ES</t>
  </si>
  <si>
    <t>YUAN PRO GS (com trade in) ES</t>
  </si>
  <si>
    <t>YUAN PRO GS (sem trade in) MG3 E LESTE MG</t>
  </si>
  <si>
    <t>YUAN PRO GS (com trade in) MG3 E LESTE MG</t>
  </si>
  <si>
    <t>YUAN PRO GS (25/26)</t>
  </si>
  <si>
    <t>YUAN PLUS GL</t>
  </si>
  <si>
    <t>TAN AWD GS 700EV</t>
  </si>
  <si>
    <t>DOLPHIN PLUS</t>
  </si>
  <si>
    <t>40K BYD X BYD</t>
  </si>
  <si>
    <t>Modelo</t>
  </si>
  <si>
    <t>AnoModelo</t>
  </si>
  <si>
    <t>Margem</t>
  </si>
  <si>
    <t>Bonus</t>
  </si>
  <si>
    <t>Brasilia</t>
  </si>
  <si>
    <t>Goiania</t>
  </si>
  <si>
    <t>BH</t>
  </si>
  <si>
    <t>ES GV</t>
  </si>
  <si>
    <t>ES Interior</t>
  </si>
  <si>
    <t>GO Interior</t>
  </si>
  <si>
    <t>MG Interior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</si>
</sst>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#,##0.00_ ;[Red]\-#,##0.00\ "/>
    <numFmt numFmtId="166" formatCode="0.0"/>
    <numFmt numFmtId="167" formatCode="&quot;R$&quot;\ 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5F5F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4">
    <xf numFmtId="0" fontId="0" fillId="0" borderId="0" xfId="0"/>
    <xf numFmtId="165" fontId="7" fillId="2" borderId="1" xfId="0" applyNumberFormat="1" applyFont="1" applyFill="1" applyBorder="1" applyAlignment="1" applyProtection="1">
      <alignment horizontal="center" vertical="center"/>
      <protection locked="0"/>
    </xf>
    <xf numFmtId="10" fontId="6" fillId="5" borderId="6" xfId="1" applyNumberFormat="1" applyFont="1" applyFill="1" applyBorder="1" applyAlignment="1" applyProtection="1">
      <alignment horizontal="center" vertical="center" wrapText="1"/>
    </xf>
    <xf numFmtId="43" fontId="8" fillId="3" borderId="0" xfId="2" applyFont="1" applyFill="1" applyBorder="1" applyAlignment="1" applyProtection="1">
      <alignment horizontal="center"/>
    </xf>
    <xf numFmtId="10" fontId="8" fillId="3" borderId="0" xfId="1" applyNumberFormat="1" applyFont="1" applyFill="1" applyBorder="1" applyAlignment="1" applyProtection="1">
      <alignment horizontal="center"/>
    </xf>
    <xf numFmtId="10" fontId="10" fillId="3" borderId="0" xfId="1" applyNumberFormat="1" applyFont="1" applyFill="1" applyBorder="1" applyAlignment="1" applyProtection="1">
      <alignment horizontal="center"/>
    </xf>
    <xf numFmtId="10" fontId="7" fillId="6" borderId="1" xfId="1" applyNumberFormat="1" applyFont="1" applyFill="1" applyBorder="1" applyAlignment="1" applyProtection="1">
      <alignment horizontal="center" vertical="center"/>
    </xf>
    <xf numFmtId="0" fontId="11" fillId="9" borderId="19" xfId="0" applyFont="1" applyFill="1" applyBorder="1" applyAlignment="1" applyProtection="1">
      <alignment horizontal="right"/>
      <protection locked="0"/>
    </xf>
    <xf numFmtId="0" fontId="14" fillId="3" borderId="21" xfId="0" applyFont="1" applyFill="1" applyBorder="1" applyAlignment="1">
      <alignment horizontal="left"/>
    </xf>
    <xf numFmtId="3" fontId="14" fillId="3" borderId="21" xfId="0" applyNumberFormat="1" applyFont="1" applyFill="1" applyBorder="1" applyAlignment="1">
      <alignment horizontal="left"/>
    </xf>
    <xf numFmtId="164" fontId="14" fillId="3" borderId="21" xfId="1" applyNumberFormat="1" applyFont="1" applyFill="1" applyBorder="1" applyAlignment="1" applyProtection="1">
      <alignment horizontal="left"/>
    </xf>
    <xf numFmtId="0" fontId="11" fillId="9" borderId="19" xfId="0" applyFont="1" applyFill="1" applyBorder="1" applyAlignment="1">
      <alignment horizontal="right"/>
    </xf>
    <xf numFmtId="165" fontId="6" fillId="2" borderId="1" xfId="0" applyNumberFormat="1" applyFont="1" applyFill="1" applyBorder="1" applyAlignment="1" applyProtection="1">
      <alignment horizontal="center" vertical="center"/>
      <protection locked="0"/>
    </xf>
    <xf numFmtId="165" fontId="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4" fontId="12" fillId="0" borderId="20" xfId="1" applyNumberFormat="1" applyFont="1" applyFill="1" applyBorder="1" applyAlignment="1" applyProtection="1">
      <alignment horizontal="center" vertical="center" wrapText="1"/>
    </xf>
    <xf numFmtId="0" fontId="9" fillId="0" borderId="20" xfId="0" applyFont="1" applyBorder="1" applyProtection="1">
      <protection locked="0"/>
    </xf>
    <xf numFmtId="0" fontId="4" fillId="3" borderId="0" xfId="0" applyFont="1" applyFill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165" fontId="7" fillId="6" borderId="1" xfId="0" applyNumberFormat="1" applyFont="1" applyFill="1" applyBorder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 wrapText="1"/>
    </xf>
    <xf numFmtId="10" fontId="7" fillId="6" borderId="6" xfId="0" applyNumberFormat="1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0" fontId="8" fillId="3" borderId="0" xfId="0" applyFont="1" applyFill="1" applyAlignment="1">
      <alignment horizontal="left"/>
    </xf>
    <xf numFmtId="0" fontId="3" fillId="6" borderId="19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left"/>
    </xf>
    <xf numFmtId="0" fontId="2" fillId="3" borderId="22" xfId="0" applyFont="1" applyFill="1" applyBorder="1" applyAlignment="1">
      <alignment horizontal="left"/>
    </xf>
    <xf numFmtId="0" fontId="3" fillId="6" borderId="2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43" fontId="13" fillId="3" borderId="21" xfId="2" applyFont="1" applyFill="1" applyBorder="1" applyAlignment="1" applyProtection="1">
      <alignment horizontal="center"/>
      <protection locked="0"/>
    </xf>
    <xf numFmtId="43" fontId="13" fillId="3" borderId="24" xfId="2" applyFont="1" applyFill="1" applyBorder="1" applyAlignment="1" applyProtection="1">
      <alignment horizontal="center"/>
      <protection locked="0"/>
    </xf>
    <xf numFmtId="4" fontId="12" fillId="0" borderId="20" xfId="1" applyNumberFormat="1" applyFont="1" applyFill="1" applyBorder="1" applyAlignment="1" applyProtection="1">
      <alignment vertical="center" wrapText="1"/>
    </xf>
    <xf numFmtId="165" fontId="9" fillId="3" borderId="0" xfId="0" applyNumberFormat="1" applyFont="1" applyFill="1" applyAlignment="1">
      <alignment horizontal="center" vertical="center" wrapText="1"/>
    </xf>
    <xf numFmtId="10" fontId="9" fillId="3" borderId="0" xfId="1" applyNumberFormat="1" applyFont="1" applyFill="1" applyBorder="1" applyAlignment="1" applyProtection="1">
      <alignment horizontal="center"/>
    </xf>
    <xf numFmtId="0" fontId="9" fillId="0" borderId="0" xfId="0" applyFont="1" applyAlignment="1">
      <alignment horizontal="left" vertical="center"/>
    </xf>
    <xf numFmtId="0" fontId="17" fillId="0" borderId="27" xfId="0" applyFont="1" applyBorder="1" applyAlignment="1">
      <alignment horizontal="left" vertical="center"/>
    </xf>
    <xf numFmtId="0" fontId="17" fillId="0" borderId="28" xfId="0" applyFont="1" applyBorder="1" applyAlignment="1">
      <alignment horizontal="center" vertical="center"/>
    </xf>
    <xf numFmtId="167" fontId="17" fillId="0" borderId="28" xfId="0" applyNumberFormat="1" applyFont="1" applyBorder="1" applyAlignment="1">
      <alignment horizontal="center" vertical="center"/>
    </xf>
    <xf numFmtId="9" fontId="17" fillId="0" borderId="28" xfId="1" applyFont="1" applyFill="1" applyBorder="1" applyAlignment="1" applyProtection="1">
      <alignment horizontal="center" vertical="center"/>
    </xf>
    <xf numFmtId="3" fontId="17" fillId="0" borderId="28" xfId="1" applyNumberFormat="1" applyFont="1" applyFill="1" applyBorder="1" applyAlignment="1" applyProtection="1">
      <alignment horizontal="center" vertical="center"/>
    </xf>
    <xf numFmtId="44" fontId="17" fillId="0" borderId="28" xfId="3" applyFont="1" applyBorder="1" applyAlignment="1">
      <alignment horizontal="center" vertical="center"/>
    </xf>
    <xf numFmtId="0" fontId="17" fillId="0" borderId="29" xfId="0" applyFont="1" applyBorder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167" fontId="17" fillId="0" borderId="1" xfId="0" applyNumberFormat="1" applyFont="1" applyBorder="1" applyAlignment="1">
      <alignment horizontal="center" vertical="center"/>
    </xf>
    <xf numFmtId="9" fontId="17" fillId="0" borderId="1" xfId="1" applyFont="1" applyFill="1" applyBorder="1" applyAlignment="1" applyProtection="1">
      <alignment horizontal="center" vertical="center"/>
    </xf>
    <xf numFmtId="3" fontId="17" fillId="0" borderId="1" xfId="1" applyNumberFormat="1" applyFont="1" applyFill="1" applyBorder="1" applyAlignment="1" applyProtection="1">
      <alignment horizontal="center" vertical="center"/>
    </xf>
    <xf numFmtId="44" fontId="17" fillId="0" borderId="1" xfId="3" applyFont="1" applyBorder="1" applyAlignment="1">
      <alignment horizontal="center" vertical="center"/>
    </xf>
    <xf numFmtId="16" fontId="17" fillId="0" borderId="1" xfId="0" applyNumberFormat="1" applyFont="1" applyBorder="1" applyAlignment="1">
      <alignment horizontal="center" vertical="center"/>
    </xf>
    <xf numFmtId="44" fontId="17" fillId="0" borderId="1" xfId="3" applyFont="1" applyBorder="1" applyAlignment="1" applyProtection="1">
      <alignment horizontal="center" vertical="center"/>
      <protection locked="0"/>
    </xf>
    <xf numFmtId="167" fontId="17" fillId="0" borderId="1" xfId="0" applyNumberFormat="1" applyFont="1" applyBorder="1" applyAlignment="1" applyProtection="1">
      <alignment horizontal="center" vertical="center"/>
      <protection locked="0"/>
    </xf>
    <xf numFmtId="0" fontId="17" fillId="0" borderId="33" xfId="0" applyFont="1" applyBorder="1" applyAlignment="1">
      <alignment horizontal="left" vertical="center"/>
    </xf>
    <xf numFmtId="0" fontId="17" fillId="0" borderId="32" xfId="0" applyFont="1" applyBorder="1" applyAlignment="1">
      <alignment horizontal="center" vertical="center"/>
    </xf>
    <xf numFmtId="167" fontId="17" fillId="0" borderId="32" xfId="0" applyNumberFormat="1" applyFont="1" applyBorder="1" applyAlignment="1" applyProtection="1">
      <alignment horizontal="center" vertical="center"/>
      <protection locked="0"/>
    </xf>
    <xf numFmtId="167" fontId="17" fillId="0" borderId="32" xfId="0" applyNumberFormat="1" applyFont="1" applyBorder="1" applyAlignment="1">
      <alignment horizontal="center" vertical="center"/>
    </xf>
    <xf numFmtId="9" fontId="17" fillId="0" borderId="32" xfId="1" applyFont="1" applyFill="1" applyBorder="1" applyAlignment="1" applyProtection="1">
      <alignment horizontal="center" vertical="center"/>
    </xf>
    <xf numFmtId="3" fontId="17" fillId="0" borderId="32" xfId="1" applyNumberFormat="1" applyFont="1" applyFill="1" applyBorder="1" applyAlignment="1" applyProtection="1">
      <alignment horizontal="center" vertical="center"/>
    </xf>
    <xf numFmtId="44" fontId="17" fillId="0" borderId="32" xfId="3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167" fontId="17" fillId="0" borderId="0" xfId="0" applyNumberFormat="1" applyFont="1" applyAlignment="1" applyProtection="1">
      <alignment horizontal="center" vertical="center"/>
      <protection locked="0"/>
    </xf>
    <xf numFmtId="9" fontId="17" fillId="0" borderId="0" xfId="1" applyFont="1" applyAlignment="1" applyProtection="1">
      <alignment horizontal="center" vertical="center"/>
      <protection locked="0"/>
    </xf>
    <xf numFmtId="3" fontId="17" fillId="0" borderId="0" xfId="1" applyNumberFormat="1" applyFont="1" applyAlignment="1" applyProtection="1">
      <alignment horizontal="center" vertical="center"/>
      <protection locked="0"/>
    </xf>
    <xf numFmtId="44" fontId="17" fillId="0" borderId="0" xfId="3" applyFont="1" applyAlignment="1" applyProtection="1">
      <alignment horizontal="center" vertical="center"/>
      <protection locked="0"/>
    </xf>
    <xf numFmtId="44" fontId="17" fillId="0" borderId="0" xfId="3" applyFont="1" applyAlignment="1" applyProtection="1">
      <alignment horizontal="center" vertical="center" wrapText="1"/>
      <protection locked="0"/>
    </xf>
    <xf numFmtId="44" fontId="16" fillId="9" borderId="19" xfId="3" applyFont="1" applyFill="1" applyBorder="1" applyAlignment="1" applyProtection="1">
      <alignment horizontal="center" vertical="center"/>
      <protection locked="0"/>
    </xf>
    <xf numFmtId="44" fontId="17" fillId="3" borderId="21" xfId="3" applyFont="1" applyFill="1" applyBorder="1" applyAlignment="1">
      <alignment horizontal="center" vertical="center" wrapText="1"/>
    </xf>
    <xf numFmtId="44" fontId="17" fillId="3" borderId="21" xfId="3" applyFont="1" applyFill="1" applyBorder="1" applyAlignment="1" applyProtection="1">
      <alignment horizontal="center" vertical="center" wrapText="1"/>
    </xf>
    <xf numFmtId="44" fontId="16" fillId="9" borderId="19" xfId="3" applyFont="1" applyFill="1" applyBorder="1" applyAlignment="1">
      <alignment horizontal="center" vertical="center"/>
    </xf>
    <xf numFmtId="44" fontId="16" fillId="9" borderId="22" xfId="3" applyFont="1" applyFill="1" applyBorder="1" applyAlignment="1">
      <alignment horizontal="center" vertical="center"/>
    </xf>
    <xf numFmtId="44" fontId="17" fillId="3" borderId="24" xfId="3" applyFont="1" applyFill="1" applyBorder="1" applyAlignment="1">
      <alignment horizontal="center" vertical="center" wrapText="1"/>
    </xf>
    <xf numFmtId="0" fontId="18" fillId="0" borderId="0" xfId="0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9" fillId="7" borderId="13" xfId="0" applyFont="1" applyFill="1" applyBorder="1" applyAlignment="1">
      <alignment horizontal="center" vertical="center"/>
    </xf>
    <xf numFmtId="0" fontId="18" fillId="7" borderId="14" xfId="0" applyFont="1" applyFill="1" applyBorder="1" applyAlignment="1">
      <alignment horizontal="center" vertical="center"/>
    </xf>
    <xf numFmtId="167" fontId="19" fillId="7" borderId="14" xfId="0" applyNumberFormat="1" applyFont="1" applyFill="1" applyBorder="1" applyAlignment="1">
      <alignment horizontal="center" vertical="center"/>
    </xf>
    <xf numFmtId="167" fontId="19" fillId="7" borderId="14" xfId="0" applyNumberFormat="1" applyFont="1" applyFill="1" applyBorder="1" applyAlignment="1">
      <alignment horizontal="center" vertical="center" wrapText="1"/>
    </xf>
    <xf numFmtId="9" fontId="19" fillId="7" borderId="14" xfId="1" applyFont="1" applyFill="1" applyBorder="1" applyAlignment="1" applyProtection="1">
      <alignment horizontal="center" vertical="center"/>
    </xf>
    <xf numFmtId="3" fontId="19" fillId="7" borderId="15" xfId="1" applyNumberFormat="1" applyFont="1" applyFill="1" applyBorder="1" applyAlignment="1" applyProtection="1">
      <alignment horizontal="center" vertical="center"/>
    </xf>
    <xf numFmtId="44" fontId="20" fillId="8" borderId="13" xfId="3" applyFont="1" applyFill="1" applyBorder="1" applyAlignment="1" applyProtection="1">
      <alignment horizontal="center" vertical="center" wrapText="1"/>
    </xf>
    <xf numFmtId="44" fontId="20" fillId="8" borderId="14" xfId="3" applyFont="1" applyFill="1" applyBorder="1" applyAlignment="1" applyProtection="1">
      <alignment horizontal="center" vertical="center" wrapText="1"/>
    </xf>
    <xf numFmtId="44" fontId="20" fillId="8" borderId="31" xfId="3" applyFont="1" applyFill="1" applyBorder="1" applyAlignment="1" applyProtection="1">
      <alignment horizontal="center" vertical="center" wrapText="1"/>
    </xf>
    <xf numFmtId="0" fontId="19" fillId="7" borderId="25" xfId="0" applyFont="1" applyFill="1" applyBorder="1" applyAlignment="1">
      <alignment horizontal="center" vertical="center" wrapText="1"/>
    </xf>
    <xf numFmtId="0" fontId="17" fillId="0" borderId="34" xfId="0" applyFont="1" applyBorder="1" applyAlignment="1">
      <alignment horizontal="left" vertical="center" wrapText="1"/>
    </xf>
    <xf numFmtId="0" fontId="17" fillId="0" borderId="35" xfId="0" applyFont="1" applyBorder="1" applyAlignment="1">
      <alignment horizontal="left" vertical="center" wrapText="1"/>
    </xf>
    <xf numFmtId="0" fontId="17" fillId="0" borderId="36" xfId="0" applyFont="1" applyBorder="1" applyAlignment="1">
      <alignment horizontal="left" vertical="center" wrapText="1"/>
    </xf>
    <xf numFmtId="0" fontId="17" fillId="0" borderId="0" xfId="0" applyFont="1" applyAlignment="1" applyProtection="1">
      <alignment horizontal="left"/>
      <protection locked="0"/>
    </xf>
    <xf numFmtId="4" fontId="17" fillId="0" borderId="0" xfId="1" applyNumberFormat="1" applyFont="1" applyAlignment="1" applyProtection="1">
      <alignment horizontal="left"/>
      <protection locked="0"/>
    </xf>
    <xf numFmtId="166" fontId="17" fillId="0" borderId="0" xfId="0" applyNumberFormat="1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 vertical="center" wrapText="1"/>
      <protection locked="0"/>
    </xf>
    <xf numFmtId="0" fontId="3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 applyProtection="1">
      <alignment horizontal="center"/>
      <protection locked="0"/>
    </xf>
    <xf numFmtId="0" fontId="3" fillId="3" borderId="21" xfId="0" applyFont="1" applyFill="1" applyBorder="1" applyAlignment="1" applyProtection="1">
      <alignment horizontal="center"/>
      <protection locked="0"/>
    </xf>
    <xf numFmtId="0" fontId="3" fillId="3" borderId="23" xfId="0" applyFont="1" applyFill="1" applyBorder="1" applyAlignment="1" applyProtection="1">
      <alignment horizontal="center"/>
      <protection locked="0"/>
    </xf>
    <xf numFmtId="0" fontId="3" fillId="3" borderId="24" xfId="0" applyFont="1" applyFill="1" applyBorder="1" applyAlignment="1" applyProtection="1">
      <alignment horizontal="center"/>
      <protection locked="0"/>
    </xf>
    <xf numFmtId="0" fontId="12" fillId="10" borderId="16" xfId="0" applyFont="1" applyFill="1" applyBorder="1" applyAlignment="1">
      <alignment horizontal="center"/>
    </xf>
    <xf numFmtId="0" fontId="12" fillId="10" borderId="17" xfId="0" applyFont="1" applyFill="1" applyBorder="1" applyAlignment="1">
      <alignment horizontal="center"/>
    </xf>
    <xf numFmtId="0" fontId="12" fillId="10" borderId="18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/>
    </xf>
    <xf numFmtId="0" fontId="12" fillId="10" borderId="7" xfId="0" applyFont="1" applyFill="1" applyBorder="1" applyAlignment="1">
      <alignment horizontal="center"/>
    </xf>
    <xf numFmtId="0" fontId="16" fillId="0" borderId="30" xfId="0" applyFont="1" applyBorder="1" applyAlignment="1">
      <alignment horizontal="center" vertical="center"/>
    </xf>
    <xf numFmtId="0" fontId="21" fillId="11" borderId="37" xfId="0" applyFont="1" applyFill="1" applyBorder="1" applyAlignment="1">
      <alignment horizontal="center" vertical="center"/>
    </xf>
    <xf numFmtId="0" fontId="0" fillId="0" borderId="0" xfId="0" applyAlignment="1"/>
  </cellXfs>
  <cellStyles count="4">
    <cellStyle name="Moeda" xfId="3" builtinId="4"/>
    <cellStyle name="Normal" xfId="0" builtinId="0"/>
    <cellStyle name="Porcentagem" xfId="1" builtinId="5"/>
    <cellStyle name="Vírgula" xfId="2" builtinId="3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88927"/>
        <c:axId val="1449893727"/>
      </c:barChart>
      <c:catAx>
        <c:axId val="144988892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93727"/>
        <c:crosses val="autoZero"/>
        <c:auto val="1"/>
        <c:lblAlgn val="ctr"/>
        <c:lblOffset val="100"/>
        <c:noMultiLvlLbl val="0"/>
      </c:catAx>
      <c:valAx>
        <c:axId val="144989372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8892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95647"/>
        <c:axId val="1449887007"/>
      </c:barChart>
      <c:catAx>
        <c:axId val="144989564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87007"/>
        <c:crosses val="autoZero"/>
        <c:auto val="1"/>
        <c:lblAlgn val="ctr"/>
        <c:lblOffset val="100"/>
        <c:noMultiLvlLbl val="0"/>
      </c:catAx>
      <c:valAx>
        <c:axId val="144988700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956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89407"/>
        <c:axId val="1449896127"/>
      </c:barChart>
      <c:catAx>
        <c:axId val="144988940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96127"/>
        <c:crosses val="autoZero"/>
        <c:auto val="1"/>
        <c:lblAlgn val="ctr"/>
        <c:lblOffset val="100"/>
        <c:noMultiLvlLbl val="0"/>
      </c:catAx>
      <c:valAx>
        <c:axId val="144989612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894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97567"/>
        <c:axId val="1449898047"/>
      </c:barChart>
      <c:catAx>
        <c:axId val="144989756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98047"/>
        <c:crosses val="autoZero"/>
        <c:auto val="1"/>
        <c:lblAlgn val="ctr"/>
        <c:lblOffset val="100"/>
        <c:noMultiLvlLbl val="0"/>
      </c:catAx>
      <c:valAx>
        <c:axId val="144989804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9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901407"/>
        <c:axId val="1449904287"/>
      </c:barChart>
      <c:catAx>
        <c:axId val="144990140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904287"/>
        <c:crosses val="autoZero"/>
        <c:auto val="1"/>
        <c:lblAlgn val="ctr"/>
        <c:lblOffset val="100"/>
        <c:noMultiLvlLbl val="0"/>
      </c:catAx>
      <c:valAx>
        <c:axId val="144990428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9014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99967"/>
        <c:axId val="1449900927"/>
      </c:barChart>
      <c:catAx>
        <c:axId val="144989996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900927"/>
        <c:crosses val="autoZero"/>
        <c:auto val="1"/>
        <c:lblAlgn val="ctr"/>
        <c:lblOffset val="100"/>
        <c:noMultiLvlLbl val="0"/>
      </c:catAx>
      <c:valAx>
        <c:axId val="144990092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999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902847"/>
        <c:axId val="1449904767"/>
      </c:barChart>
      <c:catAx>
        <c:axId val="144990284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904767"/>
        <c:crosses val="autoZero"/>
        <c:auto val="1"/>
        <c:lblAlgn val="ctr"/>
        <c:lblOffset val="100"/>
        <c:noMultiLvlLbl val="0"/>
      </c:catAx>
      <c:valAx>
        <c:axId val="144990476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9028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C27A03-996A-E03F-1D35-C530B86701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0296D5-4C64-FED0-1F8E-097EC3564B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7087BE-81C3-ED81-DFAA-4BFB873219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70DC199-5AF5-7DD6-16DE-DADBB57C5E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3154256-8A55-0E3D-DEE5-D3C4712E75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2FCD55-F201-AA3B-D593-AAF638E53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288290</xdr:colOff>
      <xdr:row>0</xdr:row>
      <xdr:rowOff>63500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94C46AC-27DE-8F0F-4781-019DCF74B9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201933</xdr:colOff>
      <xdr:row>10</xdr:row>
      <xdr:rowOff>91440</xdr:rowOff>
    </xdr:from>
    <xdr:to>
      <xdr:col>11</xdr:col>
      <xdr:colOff>485778</xdr:colOff>
      <xdr:row>14</xdr:row>
      <xdr:rowOff>135255</xdr:rowOff>
    </xdr:to>
    <xdr:sp macro="[0]!Copiar" textlink="">
      <xdr:nvSpPr>
        <xdr:cNvPr id="2" name="Seta: para a Direita 1">
          <a:extLst>
            <a:ext uri="{FF2B5EF4-FFF2-40B4-BE49-F238E27FC236}">
              <a16:creationId xmlns:a16="http://schemas.microsoft.com/office/drawing/2014/main" id="{2CDB33ED-51DA-41B3-B1D2-F6127FD0D405}"/>
            </a:ext>
          </a:extLst>
        </xdr:cNvPr>
        <xdr:cNvSpPr/>
      </xdr:nvSpPr>
      <xdr:spPr>
        <a:xfrm rot="16200000">
          <a:off x="10604186" y="2138362"/>
          <a:ext cx="834390" cy="1102995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3FED-1AA3-486C-BDD7-A6858046D61C}">
  <sheetPr codeName="Planilha1"/>
  <dimension ref="A1:U1048570"/>
  <sheetViews>
    <sheetView showGridLines="0" topLeftCell="C2" zoomScale="130" zoomScaleNormal="130" workbookViewId="0">
      <selection activeCell="I3" sqref="I3:O31"/>
    </sheetView>
  </sheetViews>
  <sheetFormatPr defaultColWidth="8.85546875" defaultRowHeight="12" x14ac:dyDescent="0.2"/>
  <cols>
    <col min="1" max="1" width="42.42578125" style="14" customWidth="1"/>
    <col min="2" max="2" width="5.28515625" style="15" customWidth="1"/>
    <col min="3" max="3" width="35" style="68" customWidth="1"/>
    <col min="4" max="4" width="13.5703125" style="68" customWidth="1"/>
    <col min="5" max="6" width="11" style="69" bestFit="1" customWidth="1"/>
    <col min="7" max="7" width="6.5703125" style="70" customWidth="1"/>
    <col min="8" max="8" width="5.7109375" style="71" bestFit="1" customWidth="1"/>
    <col min="9" max="10" width="12.140625" style="72" customWidth="1"/>
    <col min="11" max="12" width="12.140625" style="72" bestFit="1" customWidth="1"/>
    <col min="13" max="13" width="12.140625" style="72" customWidth="1"/>
    <col min="14" max="14" width="12.7109375" style="72" customWidth="1"/>
    <col min="15" max="15" width="12.140625" style="72" bestFit="1" customWidth="1"/>
    <col min="16" max="16" width="32.85546875" style="98" bestFit="1" customWidth="1"/>
    <col min="17" max="17" width="4.42578125" style="14" customWidth="1"/>
    <col min="18" max="19" width="8.85546875" style="14"/>
    <col min="20" max="20" width="19.140625" style="14" bestFit="1" customWidth="1"/>
    <col min="21" max="21" width="8.5703125" style="14" bestFit="1" customWidth="1"/>
    <col min="22" max="16384" width="8.85546875" style="14"/>
  </cols>
  <sheetData>
    <row r="1" spans="1:21" ht="15.75" customHeight="1" thickBot="1" x14ac:dyDescent="0.25">
      <c r="C1" s="121" t="s">
        <v>77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pans="1:21" s="80" customFormat="1" ht="45" customHeight="1" thickBot="1" x14ac:dyDescent="0.25">
      <c r="B2" s="81"/>
      <c r="C2" s="82" t="s">
        <v>2</v>
      </c>
      <c r="D2" s="83" t="s">
        <v>3</v>
      </c>
      <c r="E2" s="84" t="s">
        <v>4</v>
      </c>
      <c r="F2" s="85" t="s">
        <v>50</v>
      </c>
      <c r="G2" s="86" t="s">
        <v>0</v>
      </c>
      <c r="H2" s="87" t="s">
        <v>5</v>
      </c>
      <c r="I2" s="88" t="s">
        <v>34</v>
      </c>
      <c r="J2" s="89" t="s">
        <v>35</v>
      </c>
      <c r="K2" s="89" t="s">
        <v>36</v>
      </c>
      <c r="L2" s="89" t="s">
        <v>37</v>
      </c>
      <c r="M2" s="89" t="s">
        <v>38</v>
      </c>
      <c r="N2" s="90" t="s">
        <v>39</v>
      </c>
      <c r="O2" s="90" t="s">
        <v>40</v>
      </c>
      <c r="P2" s="91" t="s">
        <v>13</v>
      </c>
    </row>
    <row r="3" spans="1:21" x14ac:dyDescent="0.2">
      <c r="A3" s="14" t="s">
        <v>47</v>
      </c>
      <c r="C3" s="46" t="s">
        <v>47</v>
      </c>
      <c r="D3" s="47" t="s">
        <v>41</v>
      </c>
      <c r="E3" s="48">
        <v>399990</v>
      </c>
      <c r="F3" s="48">
        <v>394990</v>
      </c>
      <c r="G3" s="49">
        <v>0.08</v>
      </c>
      <c r="H3" s="50">
        <v>8999.4</v>
      </c>
      <c r="I3" s="51">
        <v>394990</v>
      </c>
      <c r="J3" s="51">
        <v>394990</v>
      </c>
      <c r="K3" s="51">
        <v>394990</v>
      </c>
      <c r="L3" s="51">
        <v>394990</v>
      </c>
      <c r="M3" s="51">
        <v>394990</v>
      </c>
      <c r="N3" s="51">
        <v>394990</v>
      </c>
      <c r="O3" s="51">
        <v>394990</v>
      </c>
      <c r="P3" s="92" t="s">
        <v>76</v>
      </c>
      <c r="T3" s="42" t="s">
        <v>43</v>
      </c>
      <c r="U3" s="42"/>
    </row>
    <row r="4" spans="1:21" x14ac:dyDescent="0.2">
      <c r="A4" s="45" t="s">
        <v>69</v>
      </c>
      <c r="C4" s="52" t="s">
        <v>69</v>
      </c>
      <c r="D4" s="53" t="s">
        <v>59</v>
      </c>
      <c r="E4" s="54">
        <v>119990</v>
      </c>
      <c r="F4" s="54">
        <v>116000</v>
      </c>
      <c r="G4" s="55">
        <v>0.06</v>
      </c>
      <c r="H4" s="56">
        <v>8999.4</v>
      </c>
      <c r="I4" s="57">
        <v>116000</v>
      </c>
      <c r="J4" s="57">
        <v>116000</v>
      </c>
      <c r="K4" s="57">
        <v>117000</v>
      </c>
      <c r="L4" s="57">
        <v>117000</v>
      </c>
      <c r="M4" s="57">
        <v>117000</v>
      </c>
      <c r="N4" s="57">
        <v>117000</v>
      </c>
      <c r="O4" s="57">
        <v>117000</v>
      </c>
      <c r="P4" s="93" t="s">
        <v>73</v>
      </c>
      <c r="T4" s="42" t="s">
        <v>43</v>
      </c>
      <c r="U4" s="42"/>
    </row>
    <row r="5" spans="1:21" x14ac:dyDescent="0.2">
      <c r="A5" s="14" t="s">
        <v>70</v>
      </c>
      <c r="C5" s="52" t="s">
        <v>70</v>
      </c>
      <c r="D5" s="53" t="s">
        <v>59</v>
      </c>
      <c r="E5" s="54">
        <v>119990</v>
      </c>
      <c r="F5" s="54">
        <v>117000</v>
      </c>
      <c r="G5" s="55">
        <v>0.06</v>
      </c>
      <c r="H5" s="56">
        <v>9599.4</v>
      </c>
      <c r="I5" s="57">
        <v>116000</v>
      </c>
      <c r="J5" s="57">
        <v>116000</v>
      </c>
      <c r="K5" s="57">
        <v>117000</v>
      </c>
      <c r="L5" s="57">
        <v>117000</v>
      </c>
      <c r="M5" s="57">
        <v>117000</v>
      </c>
      <c r="N5" s="57">
        <v>117000</v>
      </c>
      <c r="O5" s="57">
        <v>117000</v>
      </c>
      <c r="P5" s="93" t="s">
        <v>73</v>
      </c>
      <c r="T5" s="16"/>
      <c r="U5" s="16"/>
    </row>
    <row r="6" spans="1:21" x14ac:dyDescent="0.2">
      <c r="A6" s="14" t="s">
        <v>61</v>
      </c>
      <c r="C6" s="52" t="s">
        <v>61</v>
      </c>
      <c r="D6" s="53" t="s">
        <v>59</v>
      </c>
      <c r="E6" s="54">
        <v>169990</v>
      </c>
      <c r="F6" s="54">
        <v>169990</v>
      </c>
      <c r="G6" s="55">
        <v>0.06</v>
      </c>
      <c r="H6" s="56">
        <f>E6*G6</f>
        <v>10199.4</v>
      </c>
      <c r="I6" s="57">
        <v>169990</v>
      </c>
      <c r="J6" s="57">
        <v>169990</v>
      </c>
      <c r="K6" s="57">
        <v>169990</v>
      </c>
      <c r="L6" s="57">
        <v>169990</v>
      </c>
      <c r="M6" s="57">
        <v>169990</v>
      </c>
      <c r="N6" s="57">
        <v>169990</v>
      </c>
      <c r="O6" s="57">
        <v>169990</v>
      </c>
      <c r="P6" s="93" t="s">
        <v>54</v>
      </c>
      <c r="T6" s="17" t="s">
        <v>51</v>
      </c>
      <c r="U6" s="17" t="s">
        <v>45</v>
      </c>
    </row>
    <row r="7" spans="1:21" x14ac:dyDescent="0.2">
      <c r="A7" s="14" t="s">
        <v>62</v>
      </c>
      <c r="C7" s="52" t="s">
        <v>62</v>
      </c>
      <c r="D7" s="53" t="s">
        <v>59</v>
      </c>
      <c r="E7" s="54">
        <v>139990</v>
      </c>
      <c r="F7" s="54">
        <v>149990</v>
      </c>
      <c r="G7" s="55">
        <v>0.06</v>
      </c>
      <c r="H7" s="56">
        <f t="shared" ref="H7:H31" si="0">E7*G7</f>
        <v>8399.4</v>
      </c>
      <c r="I7" s="57">
        <v>149990</v>
      </c>
      <c r="J7" s="57">
        <v>149990</v>
      </c>
      <c r="K7" s="57">
        <v>149990</v>
      </c>
      <c r="L7" s="57">
        <v>149990</v>
      </c>
      <c r="M7" s="57">
        <v>149990</v>
      </c>
      <c r="N7" s="57">
        <v>149990</v>
      </c>
      <c r="O7" s="57">
        <v>149990</v>
      </c>
      <c r="P7" s="93" t="s">
        <v>54</v>
      </c>
      <c r="T7" s="17" t="s">
        <v>51</v>
      </c>
      <c r="U7" s="17" t="s">
        <v>45</v>
      </c>
    </row>
    <row r="8" spans="1:21" x14ac:dyDescent="0.2">
      <c r="A8" s="14" t="s">
        <v>92</v>
      </c>
      <c r="C8" s="52" t="s">
        <v>92</v>
      </c>
      <c r="D8" s="53" t="s">
        <v>48</v>
      </c>
      <c r="E8" s="54">
        <v>0</v>
      </c>
      <c r="F8" s="54">
        <v>0</v>
      </c>
      <c r="G8" s="55">
        <v>0.06</v>
      </c>
      <c r="H8" s="56">
        <f t="shared" si="0"/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93" t="s">
        <v>73</v>
      </c>
      <c r="T8" s="17" t="s">
        <v>44</v>
      </c>
      <c r="U8" s="17" t="s">
        <v>45</v>
      </c>
    </row>
    <row r="9" spans="1:21" x14ac:dyDescent="0.2">
      <c r="A9" s="14" t="s">
        <v>78</v>
      </c>
      <c r="C9" s="52" t="s">
        <v>78</v>
      </c>
      <c r="D9" s="53" t="s">
        <v>41</v>
      </c>
      <c r="E9" s="54">
        <v>299990</v>
      </c>
      <c r="F9" s="54">
        <v>279990</v>
      </c>
      <c r="G9" s="55">
        <v>0.08</v>
      </c>
      <c r="H9" s="56">
        <f t="shared" si="0"/>
        <v>23999.200000000001</v>
      </c>
      <c r="I9" s="57">
        <v>279990</v>
      </c>
      <c r="J9" s="57">
        <v>279990</v>
      </c>
      <c r="K9" s="57">
        <v>279990</v>
      </c>
      <c r="L9" s="57">
        <v>279990</v>
      </c>
      <c r="M9" s="57">
        <v>279990</v>
      </c>
      <c r="N9" s="57">
        <v>279990</v>
      </c>
      <c r="O9" s="57">
        <v>279990</v>
      </c>
      <c r="P9" s="93" t="s">
        <v>93</v>
      </c>
    </row>
    <row r="10" spans="1:21" ht="14.25" customHeight="1" x14ac:dyDescent="0.2">
      <c r="A10" s="14" t="s">
        <v>79</v>
      </c>
      <c r="C10" s="52" t="s">
        <v>79</v>
      </c>
      <c r="D10" s="53" t="s">
        <v>71</v>
      </c>
      <c r="E10" s="54">
        <v>344990</v>
      </c>
      <c r="F10" s="54">
        <v>299990</v>
      </c>
      <c r="G10" s="55">
        <v>0.08</v>
      </c>
      <c r="H10" s="56">
        <f t="shared" si="0"/>
        <v>27599.200000000001</v>
      </c>
      <c r="I10" s="57">
        <v>299990</v>
      </c>
      <c r="J10" s="57">
        <v>299990</v>
      </c>
      <c r="K10" s="57">
        <v>299990</v>
      </c>
      <c r="L10" s="57">
        <v>299990</v>
      </c>
      <c r="M10" s="57">
        <v>299990</v>
      </c>
      <c r="N10" s="57">
        <v>299990</v>
      </c>
      <c r="O10" s="57">
        <v>299990</v>
      </c>
      <c r="P10" s="93" t="s">
        <v>75</v>
      </c>
    </row>
    <row r="11" spans="1:21" x14ac:dyDescent="0.2">
      <c r="A11" s="14" t="s">
        <v>80</v>
      </c>
      <c r="C11" s="52" t="s">
        <v>80</v>
      </c>
      <c r="D11" s="53" t="s">
        <v>48</v>
      </c>
      <c r="E11" s="54">
        <v>339990</v>
      </c>
      <c r="F11" s="54">
        <v>279990</v>
      </c>
      <c r="G11" s="55">
        <v>0.08</v>
      </c>
      <c r="H11" s="56">
        <f t="shared" si="0"/>
        <v>27199.200000000001</v>
      </c>
      <c r="I11" s="57">
        <v>279990</v>
      </c>
      <c r="J11" s="57">
        <v>279990</v>
      </c>
      <c r="K11" s="57">
        <v>279990</v>
      </c>
      <c r="L11" s="57">
        <v>279990</v>
      </c>
      <c r="M11" s="57">
        <v>279990</v>
      </c>
      <c r="N11" s="57">
        <v>279990</v>
      </c>
      <c r="O11" s="57">
        <v>279990</v>
      </c>
      <c r="P11" s="93" t="s">
        <v>73</v>
      </c>
    </row>
    <row r="12" spans="1:21" x14ac:dyDescent="0.2">
      <c r="A12" s="14" t="s">
        <v>81</v>
      </c>
      <c r="C12" s="52" t="s">
        <v>81</v>
      </c>
      <c r="D12" s="53" t="s">
        <v>72</v>
      </c>
      <c r="E12" s="54">
        <v>249990</v>
      </c>
      <c r="F12" s="54">
        <v>225990</v>
      </c>
      <c r="G12" s="55">
        <v>0.08</v>
      </c>
      <c r="H12" s="56">
        <f t="shared" si="0"/>
        <v>19999.2</v>
      </c>
      <c r="I12" s="57">
        <v>225990</v>
      </c>
      <c r="J12" s="57">
        <v>225990</v>
      </c>
      <c r="K12" s="57">
        <v>225990</v>
      </c>
      <c r="L12" s="57">
        <v>225990</v>
      </c>
      <c r="M12" s="57">
        <v>225990</v>
      </c>
      <c r="N12" s="57">
        <v>225990</v>
      </c>
      <c r="O12" s="57">
        <v>225990</v>
      </c>
      <c r="P12" s="93" t="s">
        <v>73</v>
      </c>
    </row>
    <row r="13" spans="1:21" x14ac:dyDescent="0.2">
      <c r="A13" s="14" t="s">
        <v>82</v>
      </c>
      <c r="C13" s="52" t="s">
        <v>82</v>
      </c>
      <c r="D13" s="53" t="s">
        <v>42</v>
      </c>
      <c r="E13" s="54">
        <v>299800</v>
      </c>
      <c r="F13" s="54">
        <v>251990</v>
      </c>
      <c r="G13" s="55">
        <v>0.08</v>
      </c>
      <c r="H13" s="56">
        <f t="shared" si="0"/>
        <v>23984</v>
      </c>
      <c r="I13" s="57">
        <v>251990</v>
      </c>
      <c r="J13" s="57">
        <v>251990</v>
      </c>
      <c r="K13" s="57">
        <v>251990</v>
      </c>
      <c r="L13" s="57">
        <v>251990</v>
      </c>
      <c r="M13" s="57">
        <v>251990</v>
      </c>
      <c r="N13" s="57">
        <v>251990</v>
      </c>
      <c r="O13" s="57">
        <v>251990</v>
      </c>
      <c r="P13" s="93" t="s">
        <v>58</v>
      </c>
    </row>
    <row r="14" spans="1:21" x14ac:dyDescent="0.2">
      <c r="A14" s="14" t="s">
        <v>63</v>
      </c>
      <c r="C14" s="52" t="s">
        <v>63</v>
      </c>
      <c r="D14" s="53" t="s">
        <v>41</v>
      </c>
      <c r="E14" s="54">
        <v>249990</v>
      </c>
      <c r="F14" s="54">
        <v>239990</v>
      </c>
      <c r="G14" s="55">
        <v>0.08</v>
      </c>
      <c r="H14" s="56">
        <f t="shared" si="0"/>
        <v>19999.2</v>
      </c>
      <c r="I14" s="57">
        <v>239990</v>
      </c>
      <c r="J14" s="57">
        <v>239990</v>
      </c>
      <c r="K14" s="57">
        <v>239990</v>
      </c>
      <c r="L14" s="57">
        <v>239990</v>
      </c>
      <c r="M14" s="57">
        <v>239990</v>
      </c>
      <c r="N14" s="57">
        <v>239990</v>
      </c>
      <c r="O14" s="57">
        <v>239990</v>
      </c>
      <c r="P14" s="93" t="s">
        <v>74</v>
      </c>
    </row>
    <row r="15" spans="1:21" x14ac:dyDescent="0.2">
      <c r="A15" s="14" t="s">
        <v>64</v>
      </c>
      <c r="C15" s="52" t="s">
        <v>64</v>
      </c>
      <c r="D15" s="53" t="s">
        <v>72</v>
      </c>
      <c r="E15" s="54">
        <v>199990</v>
      </c>
      <c r="F15" s="54">
        <v>181990</v>
      </c>
      <c r="G15" s="55">
        <v>0.06</v>
      </c>
      <c r="H15" s="56">
        <f t="shared" si="0"/>
        <v>11999.4</v>
      </c>
      <c r="I15" s="57">
        <v>181990</v>
      </c>
      <c r="J15" s="57">
        <v>181990</v>
      </c>
      <c r="K15" s="57">
        <v>181990</v>
      </c>
      <c r="L15" s="57">
        <v>181990</v>
      </c>
      <c r="M15" s="57">
        <v>181990</v>
      </c>
      <c r="N15" s="57">
        <v>181990</v>
      </c>
      <c r="O15" s="57">
        <v>181990</v>
      </c>
      <c r="P15" s="93" t="s">
        <v>56</v>
      </c>
    </row>
    <row r="16" spans="1:21" x14ac:dyDescent="0.2">
      <c r="A16" s="14" t="s">
        <v>65</v>
      </c>
      <c r="C16" s="52" t="s">
        <v>65</v>
      </c>
      <c r="D16" s="53" t="s">
        <v>41</v>
      </c>
      <c r="E16" s="54">
        <v>199990</v>
      </c>
      <c r="F16" s="54">
        <v>184990</v>
      </c>
      <c r="G16" s="55">
        <v>0.06</v>
      </c>
      <c r="H16" s="56">
        <f t="shared" si="0"/>
        <v>11999.4</v>
      </c>
      <c r="I16" s="57">
        <v>184990</v>
      </c>
      <c r="J16" s="57">
        <v>184990</v>
      </c>
      <c r="K16" s="57">
        <v>184990</v>
      </c>
      <c r="L16" s="57">
        <v>184990</v>
      </c>
      <c r="M16" s="57">
        <v>184990</v>
      </c>
      <c r="N16" s="57">
        <v>184990</v>
      </c>
      <c r="O16" s="57">
        <v>184990</v>
      </c>
      <c r="P16" s="93" t="s">
        <v>56</v>
      </c>
    </row>
    <row r="17" spans="1:16" x14ac:dyDescent="0.2">
      <c r="A17" s="14" t="s">
        <v>66</v>
      </c>
      <c r="C17" s="52" t="s">
        <v>66</v>
      </c>
      <c r="D17" s="53" t="s">
        <v>41</v>
      </c>
      <c r="E17" s="54">
        <v>199990</v>
      </c>
      <c r="F17" s="54">
        <v>196990</v>
      </c>
      <c r="G17" s="55">
        <v>0.06</v>
      </c>
      <c r="H17" s="56">
        <f t="shared" si="0"/>
        <v>11999.4</v>
      </c>
      <c r="I17" s="57">
        <v>196990</v>
      </c>
      <c r="J17" s="57">
        <v>196990</v>
      </c>
      <c r="K17" s="57">
        <v>196990</v>
      </c>
      <c r="L17" s="57">
        <v>196990</v>
      </c>
      <c r="M17" s="57">
        <v>196990</v>
      </c>
      <c r="N17" s="57">
        <v>196990</v>
      </c>
      <c r="O17" s="57">
        <v>196990</v>
      </c>
      <c r="P17" s="93" t="s">
        <v>73</v>
      </c>
    </row>
    <row r="18" spans="1:16" x14ac:dyDescent="0.2">
      <c r="A18" s="14" t="s">
        <v>91</v>
      </c>
      <c r="C18" s="52" t="s">
        <v>91</v>
      </c>
      <c r="D18" s="58" t="s">
        <v>1</v>
      </c>
      <c r="E18" s="54">
        <v>426800</v>
      </c>
      <c r="F18" s="54">
        <v>349990</v>
      </c>
      <c r="G18" s="55">
        <v>0.08</v>
      </c>
      <c r="H18" s="56">
        <f t="shared" si="0"/>
        <v>34144</v>
      </c>
      <c r="I18" s="57">
        <v>349990</v>
      </c>
      <c r="J18" s="57">
        <v>349990</v>
      </c>
      <c r="K18" s="57">
        <v>349990</v>
      </c>
      <c r="L18" s="57">
        <v>349990</v>
      </c>
      <c r="M18" s="57">
        <v>349990</v>
      </c>
      <c r="N18" s="57">
        <v>349990</v>
      </c>
      <c r="O18" s="57">
        <v>349990</v>
      </c>
      <c r="P18" s="93" t="s">
        <v>73</v>
      </c>
    </row>
    <row r="19" spans="1:16" x14ac:dyDescent="0.2">
      <c r="A19" s="14" t="s">
        <v>90</v>
      </c>
      <c r="C19" s="52" t="s">
        <v>90</v>
      </c>
      <c r="D19" s="53" t="s">
        <v>42</v>
      </c>
      <c r="E19" s="54">
        <v>269990</v>
      </c>
      <c r="F19" s="54">
        <v>221990</v>
      </c>
      <c r="G19" s="55">
        <v>0.08</v>
      </c>
      <c r="H19" s="56">
        <f t="shared" si="0"/>
        <v>21599.200000000001</v>
      </c>
      <c r="I19" s="57">
        <v>221990</v>
      </c>
      <c r="J19" s="57">
        <v>221990</v>
      </c>
      <c r="K19" s="57">
        <v>221990</v>
      </c>
      <c r="L19" s="57">
        <v>221990</v>
      </c>
      <c r="M19" s="57">
        <v>221990</v>
      </c>
      <c r="N19" s="57">
        <v>221990</v>
      </c>
      <c r="O19" s="57">
        <v>221990</v>
      </c>
      <c r="P19" s="93" t="s">
        <v>73</v>
      </c>
    </row>
    <row r="20" spans="1:16" x14ac:dyDescent="0.2">
      <c r="A20" s="14" t="s">
        <v>89</v>
      </c>
      <c r="C20" s="52" t="s">
        <v>89</v>
      </c>
      <c r="D20" s="53" t="s">
        <v>42</v>
      </c>
      <c r="E20" s="54">
        <v>182990</v>
      </c>
      <c r="F20" s="54">
        <v>164990</v>
      </c>
      <c r="G20" s="55">
        <v>0.06</v>
      </c>
      <c r="H20" s="56">
        <f t="shared" si="0"/>
        <v>10979.4</v>
      </c>
      <c r="I20" s="57">
        <v>164990</v>
      </c>
      <c r="J20" s="57">
        <v>164990</v>
      </c>
      <c r="K20" s="57">
        <v>164990</v>
      </c>
      <c r="L20" s="57">
        <v>164990</v>
      </c>
      <c r="M20" s="57">
        <v>164990</v>
      </c>
      <c r="N20" s="57">
        <v>164990</v>
      </c>
      <c r="O20" s="57">
        <v>164990</v>
      </c>
      <c r="P20" s="93" t="s">
        <v>73</v>
      </c>
    </row>
    <row r="21" spans="1:16" x14ac:dyDescent="0.2">
      <c r="A21" s="14" t="s">
        <v>88</v>
      </c>
      <c r="C21" s="52" t="s">
        <v>88</v>
      </c>
      <c r="D21" s="53" t="s">
        <v>41</v>
      </c>
      <c r="E21" s="54">
        <v>182990</v>
      </c>
      <c r="F21" s="54">
        <v>179990</v>
      </c>
      <c r="G21" s="55">
        <v>0.06</v>
      </c>
      <c r="H21" s="56">
        <f t="shared" si="0"/>
        <v>10979.4</v>
      </c>
      <c r="I21" s="57">
        <v>179990</v>
      </c>
      <c r="J21" s="57">
        <v>179990</v>
      </c>
      <c r="K21" s="57">
        <v>179990</v>
      </c>
      <c r="L21" s="57">
        <v>179990</v>
      </c>
      <c r="M21" s="57">
        <v>179990</v>
      </c>
      <c r="N21" s="57">
        <v>179990</v>
      </c>
      <c r="O21" s="57">
        <v>179990</v>
      </c>
      <c r="P21" s="93" t="s">
        <v>55</v>
      </c>
    </row>
    <row r="22" spans="1:16" x14ac:dyDescent="0.2">
      <c r="A22" s="14" t="s">
        <v>87</v>
      </c>
      <c r="C22" s="52" t="s">
        <v>87</v>
      </c>
      <c r="D22" s="53" t="s">
        <v>41</v>
      </c>
      <c r="E22" s="54">
        <v>182990</v>
      </c>
      <c r="F22" s="54">
        <v>169990</v>
      </c>
      <c r="G22" s="55">
        <v>0.06</v>
      </c>
      <c r="H22" s="56">
        <f t="shared" si="0"/>
        <v>10979.4</v>
      </c>
      <c r="I22" s="57">
        <v>169990</v>
      </c>
      <c r="J22" s="57">
        <v>169990</v>
      </c>
      <c r="K22" s="57">
        <v>169990</v>
      </c>
      <c r="L22" s="57">
        <v>169990</v>
      </c>
      <c r="M22" s="57">
        <v>169990</v>
      </c>
      <c r="N22" s="57">
        <v>169990</v>
      </c>
      <c r="O22" s="57">
        <v>169990</v>
      </c>
      <c r="P22" s="93" t="s">
        <v>56</v>
      </c>
    </row>
    <row r="23" spans="1:16" x14ac:dyDescent="0.2">
      <c r="A23" s="14" t="s">
        <v>86</v>
      </c>
      <c r="C23" s="52" t="s">
        <v>86</v>
      </c>
      <c r="D23" s="53" t="s">
        <v>41</v>
      </c>
      <c r="E23" s="54">
        <v>182990</v>
      </c>
      <c r="F23" s="54">
        <v>173990</v>
      </c>
      <c r="G23" s="55">
        <v>0.06</v>
      </c>
      <c r="H23" s="56">
        <f t="shared" si="0"/>
        <v>10979.4</v>
      </c>
      <c r="I23" s="57">
        <v>173990</v>
      </c>
      <c r="J23" s="57">
        <v>173990</v>
      </c>
      <c r="K23" s="57">
        <v>173990</v>
      </c>
      <c r="L23" s="57">
        <v>173990</v>
      </c>
      <c r="M23" s="57">
        <v>173990</v>
      </c>
      <c r="N23" s="57">
        <v>173990</v>
      </c>
      <c r="O23" s="57">
        <v>173990</v>
      </c>
      <c r="P23" s="93" t="s">
        <v>55</v>
      </c>
    </row>
    <row r="24" spans="1:16" x14ac:dyDescent="0.2">
      <c r="A24" s="14" t="s">
        <v>85</v>
      </c>
      <c r="C24" s="52" t="s">
        <v>85</v>
      </c>
      <c r="D24" s="53" t="s">
        <v>41</v>
      </c>
      <c r="E24" s="54">
        <v>182990</v>
      </c>
      <c r="F24" s="54">
        <v>163990</v>
      </c>
      <c r="G24" s="55">
        <v>0.06</v>
      </c>
      <c r="H24" s="56">
        <f t="shared" si="0"/>
        <v>10979.4</v>
      </c>
      <c r="I24" s="57">
        <v>163990</v>
      </c>
      <c r="J24" s="57">
        <v>163990</v>
      </c>
      <c r="K24" s="57">
        <v>163990</v>
      </c>
      <c r="L24" s="57">
        <v>163990</v>
      </c>
      <c r="M24" s="57">
        <v>163990</v>
      </c>
      <c r="N24" s="57">
        <v>163990</v>
      </c>
      <c r="O24" s="57">
        <v>163990</v>
      </c>
      <c r="P24" s="93" t="s">
        <v>56</v>
      </c>
    </row>
    <row r="25" spans="1:16" x14ac:dyDescent="0.2">
      <c r="A25" s="14" t="s">
        <v>84</v>
      </c>
      <c r="C25" s="52" t="s">
        <v>84</v>
      </c>
      <c r="D25" s="53" t="s">
        <v>41</v>
      </c>
      <c r="E25" s="54">
        <v>182990</v>
      </c>
      <c r="F25" s="54">
        <v>166990</v>
      </c>
      <c r="G25" s="55">
        <v>0.06</v>
      </c>
      <c r="H25" s="56">
        <f>E25*G25</f>
        <v>10979.4</v>
      </c>
      <c r="I25" s="59">
        <v>166990</v>
      </c>
      <c r="J25" s="59">
        <v>166990</v>
      </c>
      <c r="K25" s="59">
        <v>166990</v>
      </c>
      <c r="L25" s="59">
        <v>166990</v>
      </c>
      <c r="M25" s="59">
        <v>166990</v>
      </c>
      <c r="N25" s="59">
        <v>166990</v>
      </c>
      <c r="O25" s="59">
        <v>166990</v>
      </c>
      <c r="P25" s="93" t="s">
        <v>55</v>
      </c>
    </row>
    <row r="26" spans="1:16" x14ac:dyDescent="0.2">
      <c r="A26" s="14" t="s">
        <v>83</v>
      </c>
      <c r="C26" s="52" t="s">
        <v>83</v>
      </c>
      <c r="D26" s="53" t="s">
        <v>41</v>
      </c>
      <c r="E26" s="54">
        <v>182990</v>
      </c>
      <c r="F26" s="54">
        <v>156990</v>
      </c>
      <c r="G26" s="55">
        <v>0.06</v>
      </c>
      <c r="H26" s="56">
        <f t="shared" si="0"/>
        <v>10979.4</v>
      </c>
      <c r="I26" s="59">
        <v>156990</v>
      </c>
      <c r="J26" s="59">
        <v>156990</v>
      </c>
      <c r="K26" s="59">
        <v>156990</v>
      </c>
      <c r="L26" s="59">
        <v>156990</v>
      </c>
      <c r="M26" s="59">
        <v>156990</v>
      </c>
      <c r="N26" s="59">
        <v>156990</v>
      </c>
      <c r="O26" s="59">
        <v>156990</v>
      </c>
      <c r="P26" s="93" t="s">
        <v>56</v>
      </c>
    </row>
    <row r="27" spans="1:16" x14ac:dyDescent="0.2">
      <c r="A27" s="14" t="s">
        <v>46</v>
      </c>
      <c r="C27" s="52" t="s">
        <v>46</v>
      </c>
      <c r="D27" s="53" t="s">
        <v>41</v>
      </c>
      <c r="E27" s="60">
        <v>269990</v>
      </c>
      <c r="F27" s="54">
        <v>254990</v>
      </c>
      <c r="G27" s="55">
        <v>0.08</v>
      </c>
      <c r="H27" s="56">
        <f t="shared" si="0"/>
        <v>21599.200000000001</v>
      </c>
      <c r="I27" s="59">
        <v>254990</v>
      </c>
      <c r="J27" s="59">
        <v>254990</v>
      </c>
      <c r="K27" s="59">
        <v>254990</v>
      </c>
      <c r="L27" s="59">
        <v>254990</v>
      </c>
      <c r="M27" s="59">
        <v>254990</v>
      </c>
      <c r="N27" s="59">
        <v>254990</v>
      </c>
      <c r="O27" s="59">
        <v>254990</v>
      </c>
      <c r="P27" s="93" t="s">
        <v>73</v>
      </c>
    </row>
    <row r="28" spans="1:16" x14ac:dyDescent="0.2">
      <c r="A28" s="14" t="s">
        <v>46</v>
      </c>
      <c r="C28" s="52" t="s">
        <v>46</v>
      </c>
      <c r="D28" s="53" t="s">
        <v>41</v>
      </c>
      <c r="E28" s="60">
        <v>269990</v>
      </c>
      <c r="F28" s="54">
        <v>243490</v>
      </c>
      <c r="G28" s="55">
        <v>0.08</v>
      </c>
      <c r="H28" s="56">
        <f t="shared" si="0"/>
        <v>21599.200000000001</v>
      </c>
      <c r="I28" s="59">
        <v>243490</v>
      </c>
      <c r="J28" s="59">
        <v>243490</v>
      </c>
      <c r="K28" s="59">
        <v>243490</v>
      </c>
      <c r="L28" s="59">
        <v>243490</v>
      </c>
      <c r="M28" s="59">
        <v>243490</v>
      </c>
      <c r="N28" s="59">
        <v>243490</v>
      </c>
      <c r="O28" s="59">
        <v>243490</v>
      </c>
      <c r="P28" s="93" t="s">
        <v>73</v>
      </c>
    </row>
    <row r="29" spans="1:16" x14ac:dyDescent="0.2">
      <c r="A29" s="14" t="s">
        <v>67</v>
      </c>
      <c r="C29" s="52" t="s">
        <v>67</v>
      </c>
      <c r="D29" s="53" t="s">
        <v>71</v>
      </c>
      <c r="E29" s="60">
        <v>175990</v>
      </c>
      <c r="F29" s="54">
        <v>161990</v>
      </c>
      <c r="G29" s="55">
        <v>0.06</v>
      </c>
      <c r="H29" s="56">
        <f t="shared" si="0"/>
        <v>10559.4</v>
      </c>
      <c r="I29" s="59">
        <v>161990</v>
      </c>
      <c r="J29" s="59">
        <v>161990</v>
      </c>
      <c r="K29" s="59">
        <v>161990</v>
      </c>
      <c r="L29" s="59">
        <v>161990</v>
      </c>
      <c r="M29" s="59">
        <v>161990</v>
      </c>
      <c r="N29" s="59">
        <v>161990</v>
      </c>
      <c r="O29" s="59">
        <v>161990</v>
      </c>
      <c r="P29" s="93" t="s">
        <v>73</v>
      </c>
    </row>
    <row r="30" spans="1:16" x14ac:dyDescent="0.2">
      <c r="A30" s="14" t="s">
        <v>68</v>
      </c>
      <c r="C30" s="52" t="s">
        <v>68</v>
      </c>
      <c r="D30" s="53" t="s">
        <v>41</v>
      </c>
      <c r="E30" s="60">
        <v>175990</v>
      </c>
      <c r="F30" s="54">
        <v>171990</v>
      </c>
      <c r="G30" s="55">
        <v>0.06</v>
      </c>
      <c r="H30" s="56">
        <f t="shared" si="0"/>
        <v>10559.4</v>
      </c>
      <c r="I30" s="59">
        <v>171990</v>
      </c>
      <c r="J30" s="59">
        <v>171990</v>
      </c>
      <c r="K30" s="59">
        <v>171990</v>
      </c>
      <c r="L30" s="59">
        <v>171990</v>
      </c>
      <c r="M30" s="59">
        <v>171990</v>
      </c>
      <c r="N30" s="59">
        <v>171990</v>
      </c>
      <c r="O30" s="59">
        <v>171990</v>
      </c>
      <c r="P30" s="93" t="s">
        <v>57</v>
      </c>
    </row>
    <row r="31" spans="1:16" x14ac:dyDescent="0.2">
      <c r="A31" s="14" t="s">
        <v>49</v>
      </c>
      <c r="C31" s="52" t="s">
        <v>49</v>
      </c>
      <c r="D31" s="53" t="s">
        <v>41</v>
      </c>
      <c r="E31" s="60">
        <v>339800</v>
      </c>
      <c r="F31" s="54">
        <v>329990</v>
      </c>
      <c r="G31" s="55">
        <v>0.08</v>
      </c>
      <c r="H31" s="56">
        <f t="shared" si="0"/>
        <v>27184</v>
      </c>
      <c r="I31" s="59">
        <v>329990</v>
      </c>
      <c r="J31" s="59">
        <v>329990</v>
      </c>
      <c r="K31" s="59">
        <v>329990</v>
      </c>
      <c r="L31" s="59">
        <v>329990</v>
      </c>
      <c r="M31" s="59">
        <v>329990</v>
      </c>
      <c r="N31" s="59">
        <v>329990</v>
      </c>
      <c r="O31" s="59">
        <v>329990</v>
      </c>
      <c r="P31" s="93" t="s">
        <v>73</v>
      </c>
    </row>
    <row r="32" spans="1:16" x14ac:dyDescent="0.2">
      <c r="C32" s="52"/>
      <c r="D32" s="53"/>
      <c r="E32" s="60"/>
      <c r="F32" s="54"/>
      <c r="G32" s="55"/>
      <c r="H32" s="56"/>
      <c r="I32" s="59"/>
      <c r="J32" s="59"/>
      <c r="K32" s="59"/>
      <c r="L32" s="59"/>
      <c r="M32" s="59"/>
      <c r="N32" s="59"/>
      <c r="O32" s="59"/>
      <c r="P32" s="93" t="s">
        <v>73</v>
      </c>
    </row>
    <row r="33" spans="3:16" ht="12.75" thickBot="1" x14ac:dyDescent="0.25">
      <c r="C33" s="61"/>
      <c r="D33" s="62"/>
      <c r="E33" s="63"/>
      <c r="F33" s="64"/>
      <c r="G33" s="65"/>
      <c r="H33" s="66"/>
      <c r="I33" s="67"/>
      <c r="J33" s="67"/>
      <c r="K33" s="67"/>
      <c r="L33" s="67"/>
      <c r="M33" s="67"/>
      <c r="N33" s="67"/>
      <c r="O33" s="67"/>
      <c r="P33" s="94"/>
    </row>
    <row r="1048545" spans="14:16" x14ac:dyDescent="0.2">
      <c r="O1048545" s="73"/>
      <c r="P1048545" s="95"/>
    </row>
    <row r="1048546" spans="14:16" x14ac:dyDescent="0.2">
      <c r="O1048546" s="73"/>
      <c r="P1048546" s="95"/>
    </row>
    <row r="1048547" spans="14:16" x14ac:dyDescent="0.2">
      <c r="O1048547" s="73"/>
      <c r="P1048547" s="95"/>
    </row>
    <row r="1048548" spans="14:16" x14ac:dyDescent="0.2">
      <c r="N1048548" s="74" t="s">
        <v>30</v>
      </c>
      <c r="O1048548" s="75">
        <f>'SIMULADOR BYD'!G10</f>
        <v>0</v>
      </c>
      <c r="P1048548" s="96"/>
    </row>
    <row r="1048549" spans="14:16" x14ac:dyDescent="0.2">
      <c r="N1048549" s="74" t="s">
        <v>25</v>
      </c>
      <c r="O1048549" s="75">
        <f>'SIMULADOR BYD'!G11</f>
        <v>0</v>
      </c>
      <c r="P1048549" s="95"/>
    </row>
    <row r="1048550" spans="14:16" x14ac:dyDescent="0.2">
      <c r="N1048550" s="74" t="s">
        <v>24</v>
      </c>
      <c r="O1048550" s="75" t="str">
        <f>'SIMULADOR BYD'!C5</f>
        <v>SONG PLUS GS 1.5T</v>
      </c>
      <c r="P1048550" s="95"/>
    </row>
    <row r="1048551" spans="14:16" x14ac:dyDescent="0.2">
      <c r="N1048551" s="74" t="s">
        <v>26</v>
      </c>
      <c r="O1048551" s="75">
        <f>'SIMULADOR BYD'!E5</f>
        <v>249990</v>
      </c>
      <c r="P1048551" s="95"/>
    </row>
    <row r="1048552" spans="14:16" x14ac:dyDescent="0.2">
      <c r="N1048552" s="74" t="s">
        <v>27</v>
      </c>
      <c r="O1048552" s="76" t="str">
        <f>_xlfn.CONCAT(P1048552&amp;"%")</f>
        <v>4,2%</v>
      </c>
      <c r="P1048552" s="97">
        <f>ROUND('SIMULADOR BYD'!K6,3)*100</f>
        <v>4.2</v>
      </c>
    </row>
    <row r="1048553" spans="14:16" x14ac:dyDescent="0.2">
      <c r="N1048553" s="74" t="s">
        <v>28</v>
      </c>
      <c r="O1048553" s="75">
        <f>'SIMULADOR BYD'!K5</f>
        <v>239990</v>
      </c>
      <c r="P1048553" s="95"/>
    </row>
    <row r="1048554" spans="14:16" x14ac:dyDescent="0.2">
      <c r="N1048554" s="74" t="s">
        <v>29</v>
      </c>
      <c r="O1048554" s="75">
        <f>'SIMULADOR BYD'!G5-'SIMULADOR BYD'!I5</f>
        <v>156000</v>
      </c>
      <c r="P1048554" s="95"/>
    </row>
    <row r="1048555" spans="14:16" x14ac:dyDescent="0.2">
      <c r="N1048555" s="74" t="s">
        <v>33</v>
      </c>
      <c r="O1048555" s="75">
        <f>'SIMULADOR BYD'!H5</f>
        <v>20000</v>
      </c>
      <c r="P1048555" s="95"/>
    </row>
    <row r="1048556" spans="14:16" x14ac:dyDescent="0.2">
      <c r="N1048556" s="74" t="s">
        <v>60</v>
      </c>
      <c r="O1048556" s="75">
        <f>'SIMULADOR BYD'!L5</f>
        <v>-53990.8</v>
      </c>
      <c r="P1048556" s="95"/>
    </row>
    <row r="1048557" spans="14:16" x14ac:dyDescent="0.2">
      <c r="N1048557" s="74" t="s">
        <v>31</v>
      </c>
      <c r="O1048557" s="76" t="str">
        <f>_xlfn.CONCAT(P1048557&amp;"%")</f>
        <v>-30,7%</v>
      </c>
      <c r="P1048557" s="95">
        <f>ROUND('SIMULADOR BYD'!L6,3)*100</f>
        <v>-30.7</v>
      </c>
    </row>
    <row r="1048558" spans="14:16" x14ac:dyDescent="0.2">
      <c r="N1048558" s="77" t="str">
        <f>'SIMULADOR BYD'!C10</f>
        <v>LB Seminovo</v>
      </c>
      <c r="O1048558" s="75">
        <f>'SIMULADOR BYD'!D10</f>
        <v>0</v>
      </c>
      <c r="P1048558" s="95"/>
    </row>
    <row r="1048559" spans="14:16" x14ac:dyDescent="0.2">
      <c r="N1048559" s="77" t="str">
        <f>'SIMULADOR BYD'!C11</f>
        <v>Financiamento</v>
      </c>
      <c r="O1048559" s="75">
        <f>'SIMULADOR BYD'!D11</f>
        <v>0</v>
      </c>
      <c r="P1048559" s="95"/>
    </row>
    <row r="1048560" spans="14:16" x14ac:dyDescent="0.2">
      <c r="N1048560" s="77" t="str">
        <f>'SIMULADOR BYD'!C12</f>
        <v>Seguro</v>
      </c>
      <c r="O1048560" s="75">
        <f>'SIMULADOR BYD'!D12</f>
        <v>0</v>
      </c>
      <c r="P1048560" s="95"/>
    </row>
    <row r="1048561" spans="14:16" x14ac:dyDescent="0.2">
      <c r="N1048561" s="77" t="str">
        <f>'SIMULADOR BYD'!C13</f>
        <v>Consórcio</v>
      </c>
      <c r="O1048561" s="75">
        <f>'SIMULADOR BYD'!D13</f>
        <v>0</v>
      </c>
      <c r="P1048561" s="95"/>
    </row>
    <row r="1048562" spans="14:16" ht="12.75" thickBot="1" x14ac:dyDescent="0.25">
      <c r="N1048562" s="78" t="str">
        <f>'SIMULADOR BYD'!C14</f>
        <v>Estética</v>
      </c>
      <c r="O1048562" s="79">
        <f>'SIMULADOR BYD'!D14</f>
        <v>0</v>
      </c>
      <c r="P1048562" s="95"/>
    </row>
    <row r="1048563" spans="14:16" x14ac:dyDescent="0.2">
      <c r="O1048563" s="73"/>
      <c r="P1048563" s="95"/>
    </row>
    <row r="1048564" spans="14:16" x14ac:dyDescent="0.2">
      <c r="O1048564" s="73"/>
      <c r="P1048564" s="95"/>
    </row>
    <row r="1048565" spans="14:16" x14ac:dyDescent="0.2">
      <c r="O1048565" s="73"/>
      <c r="P1048565" s="95"/>
    </row>
    <row r="1048566" spans="14:16" x14ac:dyDescent="0.2">
      <c r="O1048566" s="73"/>
      <c r="P1048566" s="95"/>
    </row>
    <row r="1048567" spans="14:16" x14ac:dyDescent="0.2">
      <c r="O1048567" s="73"/>
      <c r="P1048567" s="95"/>
    </row>
    <row r="1048568" spans="14:16" x14ac:dyDescent="0.2">
      <c r="O1048568" s="73"/>
      <c r="P1048568" s="95"/>
    </row>
    <row r="1048569" spans="14:16" x14ac:dyDescent="0.2">
      <c r="O1048569" s="73"/>
      <c r="P1048569" s="95"/>
    </row>
    <row r="1048570" spans="14:16" x14ac:dyDescent="0.2">
      <c r="O1048570" s="73"/>
      <c r="P1048570" s="95"/>
    </row>
  </sheetData>
  <mergeCells count="1">
    <mergeCell ref="C1:P1"/>
  </mergeCells>
  <phoneticPr fontId="15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72727-D6AB-4A98-BC14-CBECC046B76B}">
  <sheetPr codeName="Planilha3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9C81-AA0A-40D5-ACC8-34299F34B9CF}">
  <sheetPr codeName="Planilha4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855F-4337-4849-A506-244ED1CE2896}">
  <sheetPr codeName="Planilha5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D3A56-1AD0-46F4-9433-BCD5E452EED4}">
  <sheetPr codeName="Planilha6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4DF1E-3C7B-4129-9EEA-6305FCA64B98}">
  <sheetPr codeName="Planilha7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676B2-0075-4E63-9DF3-7C2D89FB9D3C}">
  <sheetPr codeName="Planilha8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903C8-F63D-4137-AF28-D0CA44B7131A}">
  <sheetPr codeName="Planilha9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DBE0A-D1E8-441E-8A46-14CC428A078B}">
  <sheetPr codeName="Planilha10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67287-5FF1-4D40-8792-F2D284229817}">
  <sheetPr codeName="Planilha11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C36A0-97DE-4C81-B6F3-05644E8FBB63}">
  <sheetPr codeName="Planilha12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BD2EC-EC1D-4E76-AD42-612E73DD5EF3}">
  <sheetPr codeName="Planilha13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2C8AB-D214-4A55-BBE6-B2101CDA454D}">
  <sheetPr codeName="Planilha2"/>
  <dimension ref="A1:N17"/>
  <sheetViews>
    <sheetView zoomScale="115" zoomScaleNormal="115" zoomScaleSheetLayoutView="100" workbookViewId="0">
      <selection activeCell="C5" sqref="C5"/>
    </sheetView>
  </sheetViews>
  <sheetFormatPr defaultColWidth="0" defaultRowHeight="12" zeroHeight="1" x14ac:dyDescent="0.2"/>
  <cols>
    <col min="1" max="2" width="1.85546875" style="18" customWidth="1"/>
    <col min="3" max="3" width="42.28515625" style="30" bestFit="1" customWidth="1"/>
    <col min="4" max="4" width="25.140625" style="30" customWidth="1"/>
    <col min="5" max="5" width="16.85546875" style="30" customWidth="1"/>
    <col min="6" max="6" width="18.42578125" style="18" bestFit="1" customWidth="1"/>
    <col min="7" max="7" width="21.140625" style="18" customWidth="1"/>
    <col min="8" max="8" width="20.85546875" style="18" customWidth="1"/>
    <col min="9" max="9" width="19.85546875" style="18" customWidth="1"/>
    <col min="10" max="10" width="14.42578125" style="18" customWidth="1"/>
    <col min="11" max="11" width="18.42578125" style="18" bestFit="1" customWidth="1"/>
    <col min="12" max="12" width="24.7109375" style="18" customWidth="1"/>
    <col min="13" max="13" width="1.140625" style="18" customWidth="1"/>
    <col min="14" max="14" width="4.140625" style="18" customWidth="1"/>
    <col min="15" max="16384" width="9.140625" style="18" hidden="1"/>
  </cols>
  <sheetData>
    <row r="1" spans="2:13" ht="15.75" customHeight="1" thickBot="1" x14ac:dyDescent="0.3">
      <c r="C1" s="99" t="s">
        <v>77</v>
      </c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2:13" ht="3" customHeight="1" x14ac:dyDescent="0.25">
      <c r="B2" s="19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2:13" ht="18.75" x14ac:dyDescent="0.25">
      <c r="B3" s="22"/>
      <c r="C3" s="107" t="s">
        <v>8</v>
      </c>
      <c r="D3" s="108"/>
      <c r="E3" s="108"/>
      <c r="F3" s="108"/>
      <c r="G3" s="108"/>
      <c r="H3" s="108"/>
      <c r="I3" s="108"/>
      <c r="J3" s="108"/>
      <c r="K3" s="108"/>
      <c r="L3" s="109"/>
      <c r="M3" s="23"/>
    </row>
    <row r="4" spans="2:13" ht="30" x14ac:dyDescent="0.25">
      <c r="B4" s="22"/>
      <c r="C4" s="24" t="s">
        <v>2</v>
      </c>
      <c r="D4" s="24" t="s">
        <v>14</v>
      </c>
      <c r="E4" s="24" t="s">
        <v>4</v>
      </c>
      <c r="F4" s="24" t="s">
        <v>9</v>
      </c>
      <c r="G4" s="24" t="s">
        <v>32</v>
      </c>
      <c r="H4" s="24" t="s">
        <v>10</v>
      </c>
      <c r="I4" s="24" t="s">
        <v>11</v>
      </c>
      <c r="J4" s="24" t="s">
        <v>6</v>
      </c>
      <c r="K4" s="24" t="s">
        <v>52</v>
      </c>
      <c r="L4" s="24" t="s">
        <v>53</v>
      </c>
      <c r="M4" s="23"/>
    </row>
    <row r="5" spans="2:13" ht="37.35" customHeight="1" x14ac:dyDescent="0.25">
      <c r="B5" s="22"/>
      <c r="C5" s="12" t="s">
        <v>63</v>
      </c>
      <c r="D5" s="13" t="s">
        <v>34</v>
      </c>
      <c r="E5" s="25">
        <f>VLOOKUP(C5,'MARGEM MÍN'!A:E,5,FALSE)</f>
        <v>249990</v>
      </c>
      <c r="F5" s="25">
        <f>E5*F6</f>
        <v>19999.2</v>
      </c>
      <c r="G5" s="1">
        <v>156000</v>
      </c>
      <c r="H5" s="1">
        <v>20000</v>
      </c>
      <c r="I5" s="1"/>
      <c r="J5" s="25">
        <f>E5-(G5+H5-I5)</f>
        <v>73990</v>
      </c>
      <c r="K5" s="25">
        <f>INDEX('MARGEM MÍN'!A1:P34,MATCH(C5,'MARGEM MÍN'!C:C,0),MATCH(D5,'MARGEM MÍN'!2:2,0))</f>
        <v>239990</v>
      </c>
      <c r="L5" s="26">
        <f>F5-J5</f>
        <v>-53990.8</v>
      </c>
      <c r="M5" s="23"/>
    </row>
    <row r="6" spans="2:13" ht="15.75" x14ac:dyDescent="0.25">
      <c r="B6" s="22"/>
      <c r="C6" s="27"/>
      <c r="D6" s="27"/>
      <c r="E6" s="27"/>
      <c r="F6" s="28">
        <f>VLOOKUP(C5,'MARGEM MÍN'!A:G,7,FALSE)</f>
        <v>0.08</v>
      </c>
      <c r="G6" s="29" t="s">
        <v>7</v>
      </c>
      <c r="H6" s="29"/>
      <c r="I6" s="43"/>
      <c r="J6" s="29"/>
      <c r="K6" s="6">
        <f>(F5-(E5-K5))/K5</f>
        <v>4.1665069377890745E-2</v>
      </c>
      <c r="L6" s="2">
        <f>L5/(G5+H5)</f>
        <v>-0.30676590909090912</v>
      </c>
      <c r="M6" s="23"/>
    </row>
    <row r="7" spans="2:13" ht="12.75" thickBot="1" x14ac:dyDescent="0.25">
      <c r="B7" s="22"/>
      <c r="F7" s="30"/>
      <c r="G7" s="30"/>
      <c r="H7" s="30"/>
      <c r="I7" s="30"/>
      <c r="J7" s="30"/>
      <c r="K7" s="30"/>
      <c r="M7" s="23"/>
    </row>
    <row r="8" spans="2:13" ht="13.5" customHeight="1" thickBot="1" x14ac:dyDescent="0.25">
      <c r="B8" s="22"/>
      <c r="I8" s="31"/>
      <c r="J8" s="110" t="str">
        <f>IF(L6&lt;K6-1%,"AUTORIZAÇÃO "&amp;'MARGEM MÍN'!U8,IF(L6&lt;K6,"AUTORIZAÇÃO "&amp;'MARGEM MÍN'!U8,"LIBERADO FATURAMENTO"))</f>
        <v>AUTORIZAÇÃO REGIONAL</v>
      </c>
      <c r="K8" s="111"/>
      <c r="L8" s="112"/>
      <c r="M8" s="23"/>
    </row>
    <row r="9" spans="2:13" ht="15" customHeight="1" x14ac:dyDescent="0.2">
      <c r="B9" s="22"/>
      <c r="C9" s="119" t="s">
        <v>20</v>
      </c>
      <c r="D9" s="120"/>
      <c r="F9" s="104" t="s">
        <v>23</v>
      </c>
      <c r="G9" s="105"/>
      <c r="H9" s="106"/>
      <c r="I9" s="3"/>
      <c r="J9" s="113"/>
      <c r="K9" s="114"/>
      <c r="L9" s="115"/>
      <c r="M9" s="23"/>
    </row>
    <row r="10" spans="2:13" ht="15" customHeight="1" thickBot="1" x14ac:dyDescent="0.3">
      <c r="B10" s="22"/>
      <c r="C10" s="32" t="s">
        <v>19</v>
      </c>
      <c r="D10" s="40"/>
      <c r="F10" s="33" t="s">
        <v>21</v>
      </c>
      <c r="G10" s="100"/>
      <c r="H10" s="101"/>
      <c r="I10" s="3"/>
      <c r="J10" s="116"/>
      <c r="K10" s="117"/>
      <c r="L10" s="118"/>
      <c r="M10" s="23"/>
    </row>
    <row r="11" spans="2:13" ht="15.75" x14ac:dyDescent="0.25">
      <c r="B11" s="22"/>
      <c r="C11" s="32" t="s">
        <v>18</v>
      </c>
      <c r="D11" s="40"/>
      <c r="F11" s="33" t="s">
        <v>22</v>
      </c>
      <c r="G11" s="100"/>
      <c r="H11" s="101"/>
      <c r="I11" s="44"/>
      <c r="M11" s="23"/>
    </row>
    <row r="12" spans="2:13" ht="16.5" thickBot="1" x14ac:dyDescent="0.3">
      <c r="B12" s="22"/>
      <c r="C12" s="32" t="s">
        <v>16</v>
      </c>
      <c r="D12" s="40"/>
      <c r="F12" s="34" t="s">
        <v>12</v>
      </c>
      <c r="G12" s="102"/>
      <c r="H12" s="103"/>
      <c r="I12" s="3"/>
      <c r="M12" s="23"/>
    </row>
    <row r="13" spans="2:13" ht="15.75" x14ac:dyDescent="0.25">
      <c r="B13" s="22"/>
      <c r="C13" s="32" t="s">
        <v>17</v>
      </c>
      <c r="D13" s="40"/>
      <c r="G13" s="30"/>
      <c r="H13" s="30"/>
      <c r="I13" s="4"/>
      <c r="M13" s="23"/>
    </row>
    <row r="14" spans="2:13" ht="16.5" thickBot="1" x14ac:dyDescent="0.3">
      <c r="B14" s="22"/>
      <c r="C14" s="35" t="s">
        <v>15</v>
      </c>
      <c r="D14" s="41"/>
      <c r="G14" s="30"/>
      <c r="H14" s="30"/>
      <c r="I14" s="5" t="s">
        <v>7</v>
      </c>
      <c r="M14" s="23"/>
    </row>
    <row r="15" spans="2:13" x14ac:dyDescent="0.2">
      <c r="B15" s="22"/>
      <c r="G15" s="30"/>
      <c r="H15" s="30"/>
      <c r="M15" s="23"/>
    </row>
    <row r="16" spans="2:13" ht="3" customHeight="1" thickBot="1" x14ac:dyDescent="0.25">
      <c r="B16" s="36"/>
      <c r="C16" s="37"/>
      <c r="D16" s="37"/>
      <c r="E16" s="37"/>
      <c r="F16" s="38"/>
      <c r="G16" s="38"/>
      <c r="H16" s="38"/>
      <c r="I16" s="38"/>
      <c r="J16" s="38"/>
      <c r="K16" s="38"/>
      <c r="L16" s="38"/>
      <c r="M16" s="39"/>
    </row>
    <row r="17" x14ac:dyDescent="0.2"/>
  </sheetData>
  <mergeCells count="8">
    <mergeCell ref="C1:M1"/>
    <mergeCell ref="G11:H11"/>
    <mergeCell ref="G12:H12"/>
    <mergeCell ref="F9:H9"/>
    <mergeCell ref="C3:L3"/>
    <mergeCell ref="J8:L10"/>
    <mergeCell ref="C9:D9"/>
    <mergeCell ref="G10:H10"/>
  </mergeCells>
  <conditionalFormatting sqref="J8">
    <cfRule type="cellIs" dxfId="2" priority="7" operator="equal">
      <formula>"AUTORIZAÇÃO LEONARDO SIMÕES"</formula>
    </cfRule>
    <cfRule type="cellIs" dxfId="1" priority="8" operator="equal">
      <formula>"LIBERADO FATURAMENTO"</formula>
    </cfRule>
  </conditionalFormatting>
  <conditionalFormatting sqref="J8:L10">
    <cfRule type="cellIs" dxfId="0" priority="1" operator="equal">
      <formula>"AUTORIZAÇÃO REGIONAL"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EA603C1-329E-47F9-BDCD-A063F4C91349}">
          <x14:formula1>
            <xm:f>'MARGEM MÍN'!$I$2:$O$2</xm:f>
          </x14:formula1>
          <xm:sqref>D5</xm:sqref>
        </x14:dataValidation>
        <x14:dataValidation type="list" allowBlank="1" showInputMessage="1" showErrorMessage="1" xr:uid="{26E16525-BABA-4A7E-9184-BB063F2557A9}">
          <x14:formula1>
            <xm:f>'MARGEM MÍN'!$A$3:$A$33</xm:f>
          </x14:formula1>
          <xm:sqref>C5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88792-9EA0-4127-9B99-A987944F676D}">
  <dimension ref="A1:L30"/>
  <sheetViews>
    <sheetView tabSelected="1" workbookViewId="0">
      <selection activeCell="E2" sqref="E2"/>
    </sheetView>
  </sheetViews>
  <sheetFormatPr defaultRowHeight="15" x14ac:dyDescent="0.25"/>
  <cols>
    <col min="1" max="1" width="39.7109375" style="123" bestFit="1" customWidth="1"/>
    <col min="2" max="2" width="13" style="123" bestFit="1" customWidth="1"/>
    <col min="3" max="3" width="7" style="123" bestFit="1" customWidth="1"/>
    <col min="4" max="4" width="9.7109375" style="123" bestFit="1" customWidth="1"/>
    <col min="5" max="5" width="41.42578125" style="123" bestFit="1" customWidth="1"/>
    <col min="6" max="6" width="8.5703125" style="123" bestFit="1" customWidth="1"/>
    <col min="7" max="7" width="8.85546875" style="123" bestFit="1" customWidth="1"/>
    <col min="8" max="8" width="4.28515625" style="123" bestFit="1" customWidth="1"/>
    <col min="9" max="9" width="7.140625" style="123" bestFit="1" customWidth="1"/>
    <col min="10" max="10" width="11.7109375" style="123" bestFit="1" customWidth="1"/>
    <col min="11" max="11" width="12.5703125" style="123" bestFit="1" customWidth="1"/>
    <col min="12" max="12" width="13" style="123" bestFit="1" customWidth="1"/>
    <col min="13" max="16384" width="9.140625" style="123"/>
  </cols>
  <sheetData>
    <row r="1" spans="1:12" ht="17.25" thickBot="1" x14ac:dyDescent="0.3">
      <c r="A1" s="122" t="s">
        <v>94</v>
      </c>
      <c r="B1" s="122" t="s">
        <v>95</v>
      </c>
      <c r="C1" s="122" t="s">
        <v>4</v>
      </c>
      <c r="D1" s="122" t="s">
        <v>96</v>
      </c>
      <c r="E1" s="122" t="s">
        <v>97</v>
      </c>
      <c r="F1" s="122" t="s">
        <v>98</v>
      </c>
      <c r="G1" s="122" t="s">
        <v>99</v>
      </c>
      <c r="H1" s="122" t="s">
        <v>100</v>
      </c>
      <c r="I1" s="122" t="s">
        <v>101</v>
      </c>
      <c r="J1" s="122" t="s">
        <v>102</v>
      </c>
      <c r="K1" s="122" t="s">
        <v>103</v>
      </c>
      <c r="L1" s="122" t="s">
        <v>104</v>
      </c>
    </row>
    <row r="2" spans="1:12" x14ac:dyDescent="0.25">
      <c r="A2" s="14" t="s">
        <v>47</v>
      </c>
      <c r="B2" s="123" t="s">
        <v>41</v>
      </c>
      <c r="C2" s="123">
        <v>399990</v>
      </c>
      <c r="D2" s="123">
        <v>0.08</v>
      </c>
      <c r="E2" s="123" t="s">
        <v>76</v>
      </c>
      <c r="F2" s="123">
        <v>394990</v>
      </c>
      <c r="G2" s="123">
        <v>394990</v>
      </c>
      <c r="H2" s="123">
        <v>394990</v>
      </c>
      <c r="I2" s="123">
        <v>394990</v>
      </c>
      <c r="J2" s="123">
        <v>394990</v>
      </c>
      <c r="K2" s="123">
        <v>394990</v>
      </c>
      <c r="L2" s="123">
        <v>394990</v>
      </c>
    </row>
    <row r="3" spans="1:12" x14ac:dyDescent="0.25">
      <c r="A3" s="45" t="s">
        <v>69</v>
      </c>
      <c r="B3" s="123" t="s">
        <v>59</v>
      </c>
      <c r="C3" s="123">
        <v>119990</v>
      </c>
      <c r="D3" s="123">
        <v>0.06</v>
      </c>
      <c r="E3" s="123" t="s">
        <v>73</v>
      </c>
      <c r="F3" s="123">
        <v>116000</v>
      </c>
      <c r="G3" s="123">
        <v>116000</v>
      </c>
      <c r="H3" s="123">
        <v>117000</v>
      </c>
      <c r="I3" s="123">
        <v>117000</v>
      </c>
      <c r="J3" s="123">
        <v>117000</v>
      </c>
      <c r="K3" s="123">
        <v>117000</v>
      </c>
      <c r="L3" s="123">
        <v>117000</v>
      </c>
    </row>
    <row r="4" spans="1:12" x14ac:dyDescent="0.25">
      <c r="A4" s="14" t="s">
        <v>70</v>
      </c>
      <c r="B4" s="123" t="s">
        <v>59</v>
      </c>
      <c r="C4" s="123">
        <v>119990</v>
      </c>
      <c r="D4" s="123">
        <v>0.06</v>
      </c>
      <c r="E4" s="123" t="s">
        <v>73</v>
      </c>
      <c r="F4" s="123">
        <v>116000</v>
      </c>
      <c r="G4" s="123">
        <v>116000</v>
      </c>
      <c r="H4" s="123">
        <v>117000</v>
      </c>
      <c r="I4" s="123">
        <v>117000</v>
      </c>
      <c r="J4" s="123">
        <v>117000</v>
      </c>
      <c r="K4" s="123">
        <v>117000</v>
      </c>
      <c r="L4" s="123">
        <v>117000</v>
      </c>
    </row>
    <row r="5" spans="1:12" x14ac:dyDescent="0.25">
      <c r="A5" s="14" t="s">
        <v>61</v>
      </c>
      <c r="B5" s="123" t="s">
        <v>59</v>
      </c>
      <c r="C5" s="123">
        <v>169990</v>
      </c>
      <c r="D5" s="123">
        <v>0.06</v>
      </c>
      <c r="E5" s="123" t="s">
        <v>54</v>
      </c>
      <c r="F5" s="123">
        <v>169990</v>
      </c>
      <c r="G5" s="123">
        <v>169990</v>
      </c>
      <c r="H5" s="123">
        <v>169990</v>
      </c>
      <c r="I5" s="123">
        <v>169990</v>
      </c>
      <c r="J5" s="123">
        <v>169990</v>
      </c>
      <c r="K5" s="123">
        <v>169990</v>
      </c>
      <c r="L5" s="123">
        <v>169990</v>
      </c>
    </row>
    <row r="6" spans="1:12" x14ac:dyDescent="0.25">
      <c r="A6" s="14" t="s">
        <v>62</v>
      </c>
      <c r="B6" s="123" t="s">
        <v>59</v>
      </c>
      <c r="C6" s="123">
        <v>139990</v>
      </c>
      <c r="D6" s="123">
        <v>0.06</v>
      </c>
      <c r="E6" s="123" t="s">
        <v>54</v>
      </c>
      <c r="F6" s="123">
        <v>149990</v>
      </c>
      <c r="G6" s="123">
        <v>149990</v>
      </c>
      <c r="H6" s="123">
        <v>149990</v>
      </c>
      <c r="I6" s="123">
        <v>149990</v>
      </c>
      <c r="J6" s="123">
        <v>149990</v>
      </c>
      <c r="K6" s="123">
        <v>149990</v>
      </c>
      <c r="L6" s="123">
        <v>149990</v>
      </c>
    </row>
    <row r="7" spans="1:12" x14ac:dyDescent="0.25">
      <c r="A7" s="14" t="s">
        <v>92</v>
      </c>
      <c r="B7" s="123" t="s">
        <v>48</v>
      </c>
      <c r="C7" s="123">
        <v>0</v>
      </c>
      <c r="D7" s="123">
        <v>0.06</v>
      </c>
      <c r="E7" s="123" t="s">
        <v>73</v>
      </c>
      <c r="F7" s="123">
        <v>0</v>
      </c>
      <c r="G7" s="123">
        <v>0</v>
      </c>
      <c r="H7" s="123">
        <v>0</v>
      </c>
      <c r="I7" s="123">
        <v>0</v>
      </c>
      <c r="J7" s="123">
        <v>0</v>
      </c>
      <c r="K7" s="123">
        <v>0</v>
      </c>
      <c r="L7" s="123">
        <v>0</v>
      </c>
    </row>
    <row r="8" spans="1:12" x14ac:dyDescent="0.25">
      <c r="A8" s="14" t="s">
        <v>78</v>
      </c>
      <c r="B8" s="123" t="s">
        <v>41</v>
      </c>
      <c r="C8" s="123">
        <v>299990</v>
      </c>
      <c r="D8" s="123">
        <v>0.08</v>
      </c>
      <c r="E8" s="123" t="s">
        <v>93</v>
      </c>
      <c r="F8" s="123">
        <v>279990</v>
      </c>
      <c r="G8" s="123">
        <v>279990</v>
      </c>
      <c r="H8" s="123">
        <v>279990</v>
      </c>
      <c r="I8" s="123">
        <v>279990</v>
      </c>
      <c r="J8" s="123">
        <v>279990</v>
      </c>
      <c r="K8" s="123">
        <v>279990</v>
      </c>
      <c r="L8" s="123">
        <v>279990</v>
      </c>
    </row>
    <row r="9" spans="1:12" x14ac:dyDescent="0.25">
      <c r="A9" s="14" t="s">
        <v>79</v>
      </c>
      <c r="B9" s="123" t="s">
        <v>71</v>
      </c>
      <c r="C9" s="123">
        <v>344990</v>
      </c>
      <c r="D9" s="123">
        <v>0.08</v>
      </c>
      <c r="E9" s="123" t="s">
        <v>75</v>
      </c>
      <c r="F9" s="123">
        <v>299990</v>
      </c>
      <c r="G9" s="123">
        <v>299990</v>
      </c>
      <c r="H9" s="123">
        <v>299990</v>
      </c>
      <c r="I9" s="123">
        <v>299990</v>
      </c>
      <c r="J9" s="123">
        <v>299990</v>
      </c>
      <c r="K9" s="123">
        <v>299990</v>
      </c>
      <c r="L9" s="123">
        <v>299990</v>
      </c>
    </row>
    <row r="10" spans="1:12" x14ac:dyDescent="0.25">
      <c r="A10" s="14" t="s">
        <v>80</v>
      </c>
      <c r="B10" s="123" t="s">
        <v>48</v>
      </c>
      <c r="C10" s="123">
        <v>339990</v>
      </c>
      <c r="D10" s="123">
        <v>0.08</v>
      </c>
      <c r="E10" s="123" t="s">
        <v>73</v>
      </c>
      <c r="F10" s="123">
        <v>279990</v>
      </c>
      <c r="G10" s="123">
        <v>279990</v>
      </c>
      <c r="H10" s="123">
        <v>279990</v>
      </c>
      <c r="I10" s="123">
        <v>279990</v>
      </c>
      <c r="J10" s="123">
        <v>279990</v>
      </c>
      <c r="K10" s="123">
        <v>279990</v>
      </c>
      <c r="L10" s="123">
        <v>279990</v>
      </c>
    </row>
    <row r="11" spans="1:12" x14ac:dyDescent="0.25">
      <c r="A11" s="14" t="s">
        <v>81</v>
      </c>
      <c r="B11" s="123" t="s">
        <v>72</v>
      </c>
      <c r="C11" s="123">
        <v>249990</v>
      </c>
      <c r="D11" s="123">
        <v>0.08</v>
      </c>
      <c r="E11" s="123" t="s">
        <v>73</v>
      </c>
      <c r="F11" s="123">
        <v>225990</v>
      </c>
      <c r="G11" s="123">
        <v>225990</v>
      </c>
      <c r="H11" s="123">
        <v>225990</v>
      </c>
      <c r="I11" s="123">
        <v>225990</v>
      </c>
      <c r="J11" s="123">
        <v>225990</v>
      </c>
      <c r="K11" s="123">
        <v>225990</v>
      </c>
      <c r="L11" s="123">
        <v>225990</v>
      </c>
    </row>
    <row r="12" spans="1:12" x14ac:dyDescent="0.25">
      <c r="A12" s="14" t="s">
        <v>82</v>
      </c>
      <c r="B12" s="123" t="s">
        <v>42</v>
      </c>
      <c r="C12" s="123">
        <v>299800</v>
      </c>
      <c r="D12" s="123">
        <v>0.08</v>
      </c>
      <c r="E12" s="123" t="s">
        <v>58</v>
      </c>
      <c r="F12" s="123">
        <v>251990</v>
      </c>
      <c r="G12" s="123">
        <v>251990</v>
      </c>
      <c r="H12" s="123">
        <v>251990</v>
      </c>
      <c r="I12" s="123">
        <v>251990</v>
      </c>
      <c r="J12" s="123">
        <v>251990</v>
      </c>
      <c r="K12" s="123">
        <v>251990</v>
      </c>
      <c r="L12" s="123">
        <v>251990</v>
      </c>
    </row>
    <row r="13" spans="1:12" x14ac:dyDescent="0.25">
      <c r="A13" s="14" t="s">
        <v>63</v>
      </c>
      <c r="B13" s="123" t="s">
        <v>41</v>
      </c>
      <c r="C13" s="123">
        <v>249990</v>
      </c>
      <c r="D13" s="123">
        <v>0.08</v>
      </c>
      <c r="E13" s="123" t="s">
        <v>74</v>
      </c>
      <c r="F13" s="123">
        <v>239990</v>
      </c>
      <c r="G13" s="123">
        <v>239990</v>
      </c>
      <c r="H13" s="123">
        <v>239990</v>
      </c>
      <c r="I13" s="123">
        <v>239990</v>
      </c>
      <c r="J13" s="123">
        <v>239990</v>
      </c>
      <c r="K13" s="123">
        <v>239990</v>
      </c>
      <c r="L13" s="123">
        <v>239990</v>
      </c>
    </row>
    <row r="14" spans="1:12" x14ac:dyDescent="0.25">
      <c r="A14" s="14" t="s">
        <v>64</v>
      </c>
      <c r="B14" s="123" t="s">
        <v>72</v>
      </c>
      <c r="C14" s="123">
        <v>199990</v>
      </c>
      <c r="D14" s="123">
        <v>0.06</v>
      </c>
      <c r="E14" s="123" t="s">
        <v>56</v>
      </c>
      <c r="F14" s="123">
        <v>181990</v>
      </c>
      <c r="G14" s="123">
        <v>181990</v>
      </c>
      <c r="H14" s="123">
        <v>181990</v>
      </c>
      <c r="I14" s="123">
        <v>181990</v>
      </c>
      <c r="J14" s="123">
        <v>181990</v>
      </c>
      <c r="K14" s="123">
        <v>181990</v>
      </c>
      <c r="L14" s="123">
        <v>181990</v>
      </c>
    </row>
    <row r="15" spans="1:12" x14ac:dyDescent="0.25">
      <c r="A15" s="14" t="s">
        <v>65</v>
      </c>
      <c r="B15" s="123" t="s">
        <v>41</v>
      </c>
      <c r="C15" s="123">
        <v>199990</v>
      </c>
      <c r="D15" s="123">
        <v>0.06</v>
      </c>
      <c r="E15" s="123" t="s">
        <v>56</v>
      </c>
      <c r="F15" s="123">
        <v>184990</v>
      </c>
      <c r="G15" s="123">
        <v>184990</v>
      </c>
      <c r="H15" s="123">
        <v>184990</v>
      </c>
      <c r="I15" s="123">
        <v>184990</v>
      </c>
      <c r="J15" s="123">
        <v>184990</v>
      </c>
      <c r="K15" s="123">
        <v>184990</v>
      </c>
      <c r="L15" s="123">
        <v>184990</v>
      </c>
    </row>
    <row r="16" spans="1:12" x14ac:dyDescent="0.25">
      <c r="A16" s="14" t="s">
        <v>66</v>
      </c>
      <c r="B16" s="123" t="s">
        <v>41</v>
      </c>
      <c r="C16" s="123">
        <v>199990</v>
      </c>
      <c r="D16" s="123">
        <v>0.06</v>
      </c>
      <c r="E16" s="123" t="s">
        <v>73</v>
      </c>
      <c r="F16" s="123">
        <v>196990</v>
      </c>
      <c r="G16" s="123">
        <v>196990</v>
      </c>
      <c r="H16" s="123">
        <v>196990</v>
      </c>
      <c r="I16" s="123">
        <v>196990</v>
      </c>
      <c r="J16" s="123">
        <v>196990</v>
      </c>
      <c r="K16" s="123">
        <v>196990</v>
      </c>
      <c r="L16" s="123">
        <v>196990</v>
      </c>
    </row>
    <row r="17" spans="1:12" x14ac:dyDescent="0.25">
      <c r="A17" s="14" t="s">
        <v>91</v>
      </c>
      <c r="B17" s="123" t="s">
        <v>1</v>
      </c>
      <c r="C17" s="123">
        <v>426800</v>
      </c>
      <c r="D17" s="123">
        <v>0.08</v>
      </c>
      <c r="E17" s="123" t="s">
        <v>73</v>
      </c>
      <c r="F17" s="123">
        <v>349990</v>
      </c>
      <c r="G17" s="123">
        <v>349990</v>
      </c>
      <c r="H17" s="123">
        <v>349990</v>
      </c>
      <c r="I17" s="123">
        <v>349990</v>
      </c>
      <c r="J17" s="123">
        <v>349990</v>
      </c>
      <c r="K17" s="123">
        <v>349990</v>
      </c>
      <c r="L17" s="123">
        <v>349990</v>
      </c>
    </row>
    <row r="18" spans="1:12" x14ac:dyDescent="0.25">
      <c r="A18" s="14" t="s">
        <v>90</v>
      </c>
      <c r="B18" s="123" t="s">
        <v>42</v>
      </c>
      <c r="C18" s="123">
        <v>269990</v>
      </c>
      <c r="D18" s="123">
        <v>0.08</v>
      </c>
      <c r="E18" s="123" t="s">
        <v>73</v>
      </c>
      <c r="F18" s="123">
        <v>221990</v>
      </c>
      <c r="G18" s="123">
        <v>221990</v>
      </c>
      <c r="H18" s="123">
        <v>221990</v>
      </c>
      <c r="I18" s="123">
        <v>221990</v>
      </c>
      <c r="J18" s="123">
        <v>221990</v>
      </c>
      <c r="K18" s="123">
        <v>221990</v>
      </c>
      <c r="L18" s="123">
        <v>221990</v>
      </c>
    </row>
    <row r="19" spans="1:12" x14ac:dyDescent="0.25">
      <c r="A19" s="14" t="s">
        <v>89</v>
      </c>
      <c r="B19" s="123" t="s">
        <v>42</v>
      </c>
      <c r="C19" s="123">
        <v>182990</v>
      </c>
      <c r="D19" s="123">
        <v>0.06</v>
      </c>
      <c r="E19" s="123" t="s">
        <v>73</v>
      </c>
      <c r="F19" s="123">
        <v>164990</v>
      </c>
      <c r="G19" s="123">
        <v>164990</v>
      </c>
      <c r="H19" s="123">
        <v>164990</v>
      </c>
      <c r="I19" s="123">
        <v>164990</v>
      </c>
      <c r="J19" s="123">
        <v>164990</v>
      </c>
      <c r="K19" s="123">
        <v>164990</v>
      </c>
      <c r="L19" s="123">
        <v>164990</v>
      </c>
    </row>
    <row r="20" spans="1:12" x14ac:dyDescent="0.25">
      <c r="A20" s="14" t="s">
        <v>88</v>
      </c>
      <c r="B20" s="123" t="s">
        <v>41</v>
      </c>
      <c r="C20" s="123">
        <v>182990</v>
      </c>
      <c r="D20" s="123">
        <v>0.06</v>
      </c>
      <c r="E20" s="123" t="s">
        <v>55</v>
      </c>
      <c r="F20" s="123">
        <v>179990</v>
      </c>
      <c r="G20" s="123">
        <v>179990</v>
      </c>
      <c r="H20" s="123">
        <v>179990</v>
      </c>
      <c r="I20" s="123">
        <v>179990</v>
      </c>
      <c r="J20" s="123">
        <v>179990</v>
      </c>
      <c r="K20" s="123">
        <v>179990</v>
      </c>
      <c r="L20" s="123">
        <v>179990</v>
      </c>
    </row>
    <row r="21" spans="1:12" x14ac:dyDescent="0.25">
      <c r="A21" s="14" t="s">
        <v>87</v>
      </c>
      <c r="B21" s="123" t="s">
        <v>41</v>
      </c>
      <c r="C21" s="123">
        <v>182990</v>
      </c>
      <c r="D21" s="123">
        <v>0.06</v>
      </c>
      <c r="E21" s="123" t="s">
        <v>56</v>
      </c>
      <c r="F21" s="123">
        <v>169990</v>
      </c>
      <c r="G21" s="123">
        <v>169990</v>
      </c>
      <c r="H21" s="123">
        <v>169990</v>
      </c>
      <c r="I21" s="123">
        <v>169990</v>
      </c>
      <c r="J21" s="123">
        <v>169990</v>
      </c>
      <c r="K21" s="123">
        <v>169990</v>
      </c>
      <c r="L21" s="123">
        <v>169990</v>
      </c>
    </row>
    <row r="22" spans="1:12" x14ac:dyDescent="0.25">
      <c r="A22" s="14" t="s">
        <v>86</v>
      </c>
      <c r="B22" s="123" t="s">
        <v>41</v>
      </c>
      <c r="C22" s="123">
        <v>182990</v>
      </c>
      <c r="D22" s="123">
        <v>0.06</v>
      </c>
      <c r="E22" s="123" t="s">
        <v>55</v>
      </c>
      <c r="F22" s="123">
        <v>173990</v>
      </c>
      <c r="G22" s="123">
        <v>173990</v>
      </c>
      <c r="H22" s="123">
        <v>173990</v>
      </c>
      <c r="I22" s="123">
        <v>173990</v>
      </c>
      <c r="J22" s="123">
        <v>173990</v>
      </c>
      <c r="K22" s="123">
        <v>173990</v>
      </c>
      <c r="L22" s="123">
        <v>173990</v>
      </c>
    </row>
    <row r="23" spans="1:12" x14ac:dyDescent="0.25">
      <c r="A23" s="14" t="s">
        <v>85</v>
      </c>
      <c r="B23" s="123" t="s">
        <v>41</v>
      </c>
      <c r="C23" s="123">
        <v>182990</v>
      </c>
      <c r="D23" s="123">
        <v>0.06</v>
      </c>
      <c r="E23" s="123" t="s">
        <v>56</v>
      </c>
      <c r="F23" s="123">
        <v>163990</v>
      </c>
      <c r="G23" s="123">
        <v>163990</v>
      </c>
      <c r="H23" s="123">
        <v>163990</v>
      </c>
      <c r="I23" s="123">
        <v>163990</v>
      </c>
      <c r="J23" s="123">
        <v>163990</v>
      </c>
      <c r="K23" s="123">
        <v>163990</v>
      </c>
      <c r="L23" s="123">
        <v>163990</v>
      </c>
    </row>
    <row r="24" spans="1:12" x14ac:dyDescent="0.25">
      <c r="A24" s="14" t="s">
        <v>84</v>
      </c>
      <c r="B24" s="123" t="s">
        <v>41</v>
      </c>
      <c r="C24" s="123">
        <v>182990</v>
      </c>
      <c r="D24" s="123">
        <v>0.06</v>
      </c>
      <c r="E24" s="123" t="s">
        <v>55</v>
      </c>
      <c r="F24" s="123">
        <v>166990</v>
      </c>
      <c r="G24" s="123">
        <v>166990</v>
      </c>
      <c r="H24" s="123">
        <v>166990</v>
      </c>
      <c r="I24" s="123">
        <v>166990</v>
      </c>
      <c r="J24" s="123">
        <v>166990</v>
      </c>
      <c r="K24" s="123">
        <v>166990</v>
      </c>
      <c r="L24" s="123">
        <v>166990</v>
      </c>
    </row>
    <row r="25" spans="1:12" x14ac:dyDescent="0.25">
      <c r="A25" s="14" t="s">
        <v>83</v>
      </c>
      <c r="B25" s="123" t="s">
        <v>41</v>
      </c>
      <c r="C25" s="123">
        <v>182990</v>
      </c>
      <c r="D25" s="123">
        <v>0.06</v>
      </c>
      <c r="E25" s="123" t="s">
        <v>56</v>
      </c>
      <c r="F25" s="123">
        <v>156990</v>
      </c>
      <c r="G25" s="123">
        <v>156990</v>
      </c>
      <c r="H25" s="123">
        <v>156990</v>
      </c>
      <c r="I25" s="123">
        <v>156990</v>
      </c>
      <c r="J25" s="123">
        <v>156990</v>
      </c>
      <c r="K25" s="123">
        <v>156990</v>
      </c>
      <c r="L25" s="123">
        <v>156990</v>
      </c>
    </row>
    <row r="26" spans="1:12" x14ac:dyDescent="0.25">
      <c r="A26" s="14" t="s">
        <v>46</v>
      </c>
      <c r="B26" s="123" t="s">
        <v>41</v>
      </c>
      <c r="C26" s="123">
        <v>269990</v>
      </c>
      <c r="D26" s="123">
        <v>0.08</v>
      </c>
      <c r="E26" s="123" t="s">
        <v>73</v>
      </c>
      <c r="F26" s="123">
        <v>254990</v>
      </c>
      <c r="G26" s="123">
        <v>254990</v>
      </c>
      <c r="H26" s="123">
        <v>254990</v>
      </c>
      <c r="I26" s="123">
        <v>254990</v>
      </c>
      <c r="J26" s="123">
        <v>254990</v>
      </c>
      <c r="K26" s="123">
        <v>254990</v>
      </c>
      <c r="L26" s="123">
        <v>254990</v>
      </c>
    </row>
    <row r="27" spans="1:12" x14ac:dyDescent="0.25">
      <c r="A27" s="14" t="s">
        <v>46</v>
      </c>
      <c r="B27" s="123" t="s">
        <v>41</v>
      </c>
      <c r="C27" s="123">
        <v>269990</v>
      </c>
      <c r="D27" s="123">
        <v>0.08</v>
      </c>
      <c r="E27" s="123" t="s">
        <v>73</v>
      </c>
      <c r="F27" s="123">
        <v>243490</v>
      </c>
      <c r="G27" s="123">
        <v>243490</v>
      </c>
      <c r="H27" s="123">
        <v>243490</v>
      </c>
      <c r="I27" s="123">
        <v>243490</v>
      </c>
      <c r="J27" s="123">
        <v>243490</v>
      </c>
      <c r="K27" s="123">
        <v>243490</v>
      </c>
      <c r="L27" s="123">
        <v>243490</v>
      </c>
    </row>
    <row r="28" spans="1:12" x14ac:dyDescent="0.25">
      <c r="A28" s="14" t="s">
        <v>67</v>
      </c>
      <c r="B28" s="123" t="s">
        <v>71</v>
      </c>
      <c r="C28" s="123">
        <v>175990</v>
      </c>
      <c r="D28" s="123">
        <v>0.06</v>
      </c>
      <c r="E28" s="123" t="s">
        <v>73</v>
      </c>
      <c r="F28" s="123">
        <v>161990</v>
      </c>
      <c r="G28" s="123">
        <v>161990</v>
      </c>
      <c r="H28" s="123">
        <v>161990</v>
      </c>
      <c r="I28" s="123">
        <v>161990</v>
      </c>
      <c r="J28" s="123">
        <v>161990</v>
      </c>
      <c r="K28" s="123">
        <v>161990</v>
      </c>
      <c r="L28" s="123">
        <v>161990</v>
      </c>
    </row>
    <row r="29" spans="1:12" x14ac:dyDescent="0.25">
      <c r="A29" s="14" t="s">
        <v>68</v>
      </c>
      <c r="B29" s="123" t="s">
        <v>41</v>
      </c>
      <c r="C29" s="123">
        <v>175990</v>
      </c>
      <c r="D29" s="123">
        <v>0.06</v>
      </c>
      <c r="E29" s="123" t="s">
        <v>57</v>
      </c>
      <c r="F29" s="123">
        <v>171990</v>
      </c>
      <c r="G29" s="123">
        <v>171990</v>
      </c>
      <c r="H29" s="123">
        <v>171990</v>
      </c>
      <c r="I29" s="123">
        <v>171990</v>
      </c>
      <c r="J29" s="123">
        <v>171990</v>
      </c>
      <c r="K29" s="123">
        <v>171990</v>
      </c>
      <c r="L29" s="123">
        <v>171990</v>
      </c>
    </row>
    <row r="30" spans="1:12" x14ac:dyDescent="0.25">
      <c r="A30" s="14" t="s">
        <v>49</v>
      </c>
      <c r="B30" s="123" t="s">
        <v>41</v>
      </c>
      <c r="C30" s="123">
        <v>339800</v>
      </c>
      <c r="D30" s="123">
        <v>0.08</v>
      </c>
      <c r="E30" s="123" t="s">
        <v>73</v>
      </c>
      <c r="F30" s="123">
        <v>329990</v>
      </c>
      <c r="G30" s="123">
        <v>329990</v>
      </c>
      <c r="H30" s="123">
        <v>329990</v>
      </c>
      <c r="I30" s="123">
        <v>329990</v>
      </c>
      <c r="J30" s="123">
        <v>329990</v>
      </c>
      <c r="K30" s="123">
        <v>329990</v>
      </c>
      <c r="L30" s="123">
        <v>329990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MARGEM MÍN</vt:lpstr>
      <vt:lpstr>SIMULADOR BYD</vt:lpstr>
      <vt:lpstr>EXPORTACAO_WEB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Ribeiro (BYD Vitória)</dc:creator>
  <cp:lastModifiedBy>Rodrigo dos Santos Ferreira (Jeep Vitória)</cp:lastModifiedBy>
  <dcterms:created xsi:type="dcterms:W3CDTF">2025-10-06T17:38:57Z</dcterms:created>
  <dcterms:modified xsi:type="dcterms:W3CDTF">2026-09-25T19:47:00Z</dcterms:modified>
</cp:coreProperties>
</file>